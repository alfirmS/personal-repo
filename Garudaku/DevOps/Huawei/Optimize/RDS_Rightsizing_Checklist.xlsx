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DevOps\Huawei\Optimize\"/>
    </mc:Choice>
  </mc:AlternateContent>
  <xr:revisionPtr revIDLastSave="0" documentId="13_ncr:1_{DDD0950F-C9AC-4B86-B90E-9742031EC89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hecklist Rightsizing" sheetId="1" r:id="rId1"/>
    <sheet name="Metric Baseline" sheetId="2" r:id="rId2"/>
    <sheet name="Perbandingan Spec" sheetId="3" r:id="rId3"/>
  </sheets>
  <definedNames>
    <definedName name="_xlnm._FilterDatabase" localSheetId="0" hidden="1">'Checklist Rightsizing'!$A$3:$H$28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3" l="1"/>
  <c r="D20" i="3"/>
  <c r="D19" i="3"/>
  <c r="D18" i="3"/>
  <c r="D17" i="3"/>
  <c r="D16" i="3"/>
  <c r="D15" i="3"/>
  <c r="D8" i="3"/>
  <c r="G8" i="2"/>
  <c r="G5" i="2"/>
  <c r="D5" i="3"/>
  <c r="D4" i="3"/>
  <c r="D3" i="3"/>
  <c r="G13" i="2"/>
  <c r="G12" i="2"/>
  <c r="G11" i="2"/>
  <c r="G10" i="2"/>
  <c r="G9" i="2"/>
  <c r="G7" i="2"/>
  <c r="G6" i="2"/>
  <c r="G4" i="2"/>
  <c r="D9" i="3" l="1"/>
  <c r="D6" i="3"/>
  <c r="D7" i="3"/>
</calcChain>
</file>

<file path=xl/sharedStrings.xml><?xml version="1.0" encoding="utf-8"?>
<sst xmlns="http://schemas.openxmlformats.org/spreadsheetml/2006/main" count="234" uniqueCount="157">
  <si>
    <t>RDS Huawei — Checklist Rightsizing (Downgrade CPU &amp; Memory)</t>
  </si>
  <si>
    <t>Gunakan checklist ini sebelum, saat, dan sesudah downgrade spec instance untuk mengoptimasi cost tanpa mengorbankan performa.</t>
  </si>
  <si>
    <t>#</t>
  </si>
  <si>
    <t>Kategori</t>
  </si>
  <si>
    <t>Item Pemeriksaan</t>
  </si>
  <si>
    <t>Perintah / Lokasi</t>
  </si>
  <si>
    <t>Tips &amp; Catatan</t>
  </si>
  <si>
    <t>Tipe</t>
  </si>
  <si>
    <t>Status</t>
  </si>
  <si>
    <t>Catatan Tim</t>
  </si>
  <si>
    <t>FASE 1 — Kumpulkan Data Monitoring</t>
  </si>
  <si>
    <t>Monitoring</t>
  </si>
  <si>
    <t>Cek rata-rata &amp; peak CPU utilization (7–30 hari)</t>
  </si>
  <si>
    <t>Console → RDS Instance → Monitoring → CPU Usage</t>
  </si>
  <si>
    <t>Target aman: avg &lt; 40%, peak &lt; 70%. Jika peak &lt; 70%, ada ruang downgrade CPU.</t>
  </si>
  <si>
    <t>Metrik</t>
  </si>
  <si>
    <t>Belum</t>
  </si>
  <si>
    <t>Cek rata-rata &amp; peak Memory utilization (7–30 hari)</t>
  </si>
  <si>
    <t>Console → RDS Instance → Monitoring → Memory Usage</t>
  </si>
  <si>
    <t>Target aman: avg &lt; 60%, peak &lt; 80%. Perhatikan innodb_buffer_pool_size.</t>
  </si>
  <si>
    <t>Pantau jumlah koneksi aktif (Threads Connected)</t>
  </si>
  <si>
    <t>SHOW STATUS LIKE 'Threads_connected';</t>
  </si>
  <si>
    <t>Setiap koneksi ~1MB RAM. Jika jauh di bawah max_connections, RAM bisa dikurangi.</t>
  </si>
  <si>
    <t>Cek IOPS &amp; disk throughput usage</t>
  </si>
  <si>
    <t>Console → Monitoring → Disk Read/Write Throughput</t>
  </si>
  <si>
    <t>Jika IOPS tinggi tapi CPU rendah, masalah bukan di spec — downgrade tidak efektif.</t>
  </si>
  <si>
    <t>Identifikasi pola traffic: jam sibuk &amp; seasonal peak</t>
  </si>
  <si>
    <t>Cloud Eye → Alarm Rules → lihat grafik harian/mingguan</t>
  </si>
  <si>
    <t>Jika peak hanya 2–3 jam/hari, pertimbangkan auto-scaling daripada downgrade permanen.</t>
  </si>
  <si>
    <t>FASE 2 — Analisis Query &amp; Workload</t>
  </si>
  <si>
    <t>Analisis Query</t>
  </si>
  <si>
    <t>Identifikasi slow query (&gt; 1 detik)</t>
  </si>
  <si>
    <t>SET GLOBAL slow_query_log=ON; SET GLOBAL long_query_time=1;</t>
  </si>
  <si>
    <t>Slow query membuat CPU naik secara artificial. Perbaiki dulu sebelum downgrade.</t>
  </si>
  <si>
    <t>Aksi</t>
  </si>
  <si>
    <t>EXPLAIN SELECT ... → pastikan type: ref/range, bukan ALL</t>
  </si>
  <si>
    <t>Full scan = CPU &amp; memory waste. Tambahkan index pada kolom WHERE/JOIN.</t>
  </si>
  <si>
    <t>Review top queries by execution count</t>
  </si>
  <si>
    <t>SELECT * FROM performance_schema.events_statements_summary_by_digest ORDER BY COUNT_STAR DESC LIMIT 20;</t>
  </si>
  <si>
    <t>Optimasi 3–5 query teratas bisa turunkan CPU 20–40% sebelum downgrade.</t>
  </si>
  <si>
    <t>Pastikan innodb_buffer_pool_size optimal</t>
  </si>
  <si>
    <t>SHOW VARIABLES LIKE 'innodb_buffer_pool_size';</t>
  </si>
  <si>
    <t>Idealnya 70–75% dari total RAM. Buffer terlalu kecil → I/O tinggi → CPU naik.</t>
  </si>
  <si>
    <t>FASE 3 — Tentukan Target Spec Downgrade</t>
  </si>
  <si>
    <t>Target Spec</t>
  </si>
  <si>
    <t>Bandingkan flavor/tier yang tersedia di Huawei RDS</t>
  </si>
  <si>
    <t>Console → Modify Instance Class → pilih tier target</t>
  </si>
  <si>
    <t>Tersedia: General-purpose, Dedicated, Shared. Sesuaikan dengan kebutuhan workload.</t>
  </si>
  <si>
    <t>Hitung estimasi penghematan biaya</t>
  </si>
  <si>
    <t>Huawei Cloud Pricing Calculator</t>
  </si>
  <si>
    <t>Contoh: 8vCPU/16GB → 4vCPU/8GB bisa hemat 40–50% biaya instance.</t>
  </si>
  <si>
    <t>Sisakan headroom minimal 30% CPU &amp; RAM di spec target</t>
  </si>
  <si>
    <t>Rumus: peak_usage / 0.7 = minimum spec yang aman</t>
  </si>
  <si>
    <t>Jangan pilih spec di mana peak sudah 80–90% — tidak ada ruang untuk traffic spike.</t>
  </si>
  <si>
    <t>Pertimbangkan Read Replica untuk offload query baca</t>
  </si>
  <si>
    <t>Console → Create Read Replica → arahkan SELECT traffic ke replica</t>
  </si>
  <si>
    <t>Redirect read traffic ke replica bisa turunkan CPU primary secara signifikan.</t>
  </si>
  <si>
    <t>FASE 4 — Persiapan Sebelum Downgrade</t>
  </si>
  <si>
    <t>Persiapan</t>
  </si>
  <si>
    <t>Buat manual backup sebelum eksekusi downgrade</t>
  </si>
  <si>
    <t>RDS Console → Backup → Create Manual Backup</t>
  </si>
  <si>
    <t>WAJIB. Downgrade spec menyebabkan reboot instance (~5–15 menit downtime).</t>
  </si>
  <si>
    <t>Risiko</t>
  </si>
  <si>
    <t>Informasikan downtime ke tim terkait</t>
  </si>
  <si>
    <t>Jadwalkan di luar jam sibuk (malam/weekend)</t>
  </si>
  <si>
    <t>Proses modify instance class di Huawei Cloud biasanya 5–15 menit termasuk reboot.</t>
  </si>
  <si>
    <t>Setup alert threshold baru di Cloud Eye</t>
  </si>
  <si>
    <t>Cloud Eye → Create Alarm Rule → CPU &gt; 75%, Memory &gt; 80%</t>
  </si>
  <si>
    <t>Pasang alarm agar tahu segera jika spec baru tidak mencukupi setelah downgrade.</t>
  </si>
  <si>
    <t>FASE 5 — Validasi Setelah Downgrade</t>
  </si>
  <si>
    <t>Validasi Post</t>
  </si>
  <si>
    <t>Monitor CPU &amp; Memory selama 24–72 jam pertama</t>
  </si>
  <si>
    <t>Cloud Eye → RDS Monitoring Dashboard</t>
  </si>
  <si>
    <t>Jika CPU spike &gt; 85% dalam 3 hari pertama, pertimbangkan rollback ke spec sebelumnya.</t>
  </si>
  <si>
    <t>Jalankan smoke test: koneksi, CRUD, query kritis</t>
  </si>
  <si>
    <t>Test dari aplikasi &amp; query langsung ke DB</t>
  </si>
  <si>
    <t>Bandingkan query execution time sebelum &amp; sesudah dengan EXPLAIN ANALYZE.</t>
  </si>
  <si>
    <t>Verifikasi innodb_buffer_pool_size sesuai RAM baru</t>
  </si>
  <si>
    <t>RAM turun → buffer pool perlu di-adjust manual di parameter group.</t>
  </si>
  <si>
    <t>Pantau slow query log selama 1 minggu setelah downgrade</t>
  </si>
  <si>
    <t>SELECT * FROM mysql.slow_log ORDER BY start_time DESC LIMIT 50;</t>
  </si>
  <si>
    <t>Peningkatan slow query setelah downgrade = sinyal spec baru kurang.</t>
  </si>
  <si>
    <t>RDS Metric Baseline — Sebelum &amp; Sesudah Downgrade</t>
  </si>
  <si>
    <t>Isi kolom 'Sebelum' dari data monitoring historis, dan 'Sesudah' setelah downgrade dilakukan. Gunakan untuk memvalidasi keputusan.</t>
  </si>
  <si>
    <t>Satuan</t>
  </si>
  <si>
    <t>Avg Sebelum</t>
  </si>
  <si>
    <t>Peak Sebelum</t>
  </si>
  <si>
    <t>Avg Sesudah</t>
  </si>
  <si>
    <t>Peak Sesudah</t>
  </si>
  <si>
    <t>CPU Utilization</t>
  </si>
  <si>
    <t>%</t>
  </si>
  <si>
    <t>Memory Utilization</t>
  </si>
  <si>
    <t>Threads Connected</t>
  </si>
  <si>
    <t>koneksi</t>
  </si>
  <si>
    <t>Max Connections</t>
  </si>
  <si>
    <t>IOPS</t>
  </si>
  <si>
    <t>Disk Throughput Read</t>
  </si>
  <si>
    <t>MB/s</t>
  </si>
  <si>
    <t>Disk Throughput Write</t>
  </si>
  <si>
    <t>Slow Query Count (per jam)</t>
  </si>
  <si>
    <t>query</t>
  </si>
  <si>
    <t>innodb_buffer_pool_size</t>
  </si>
  <si>
    <t>GB</t>
  </si>
  <si>
    <t>Perbandingan Spec &amp; Estimasi Penghematan Biaya</t>
  </si>
  <si>
    <t>Parameter</t>
  </si>
  <si>
    <t>Spec Saat Ini</t>
  </si>
  <si>
    <t>Target Downgrade</t>
  </si>
  <si>
    <t>Selisih</t>
  </si>
  <si>
    <t>Keterangan</t>
  </si>
  <si>
    <t>vCPU</t>
  </si>
  <si>
    <t>Isi dengan angka vCPU</t>
  </si>
  <si>
    <t>RAM (GB)</t>
  </si>
  <si>
    <t>Isi dengan kapasitas RAM</t>
  </si>
  <si>
    <t>Harga / Jam (USD)</t>
  </si>
  <si>
    <t>Ambil dari Huawei Pricing Calculator</t>
  </si>
  <si>
    <t>Harga / Bulan (USD)</t>
  </si>
  <si>
    <t>B6 * 730 jam/bulan</t>
  </si>
  <si>
    <t>Penghematan / Bulan (USD)</t>
  </si>
  <si>
    <t>Selisih biaya bulanan</t>
  </si>
  <si>
    <t>Penghematan / Tahun (USD)</t>
  </si>
  <si>
    <t>Selisih biaya tahunan</t>
  </si>
  <si>
    <t>% Penghematan</t>
  </si>
  <si>
    <t>Persentase efisiensi biaya</t>
  </si>
  <si>
    <t>INSTRUKSI: Isi kolom 'Spec Saat Ini' (kuning) dan 'Target Downgrade' (hijau) — kolom Selisih &amp; Penghematan otomatis terhitung.</t>
  </si>
  <si>
    <t>MEM Idle 81,4%</t>
  </si>
  <si>
    <t>Max 9,955.34 count/s IOPS, Max Read 154.341 MiB/s Disk Throughput, Max Write 264.675 MiB/s Disk Throughput</t>
  </si>
  <si>
    <t>No Permission</t>
  </si>
  <si>
    <t>Query UPDATE &gt;8s</t>
  </si>
  <si>
    <t>Selesai</t>
  </si>
  <si>
    <t>innodb_buffer_pool read</t>
  </si>
  <si>
    <t>Count/s</t>
  </si>
  <si>
    <t>Cek query yang melakukan full table scan (tidak memiliki index)</t>
  </si>
  <si>
    <t xml:space="preserve">Max 36.17% CPU </t>
  </si>
  <si>
    <t>DB garudaku_production: 66
DB Store: 67
DB Finance: 63
DB Academy: 64
Total Connection:&lt;=260</t>
  </si>
  <si>
    <t>8-11 Core -&gt; 54 - 68% dari 16 Core</t>
  </si>
  <si>
    <t>Peak di 10 Hari Pertama Max 35%</t>
  </si>
  <si>
    <t>16c / 64 GB</t>
  </si>
  <si>
    <t>16c / 64 GB -&gt; ≈ $3.167 -&gt; ~31%</t>
  </si>
  <si>
    <t>innodb_buffer_pool_size: 47,24GB 73% dari 64GB
buffer_pool_used: 42,8GB</t>
  </si>
  <si>
    <t>Backup Apr 07, 2026 02:51:52 ─ Apr 07, 2026 03:56:16 GMT+07:00</t>
  </si>
  <si>
    <t>Execution Jam 04.02 WIB
Selesai Jam 04.10</t>
  </si>
  <si>
    <t>Peak 40% setiap jam</t>
  </si>
  <si>
    <t>N/A</t>
  </si>
  <si>
    <t>RAM tidak turun</t>
  </si>
  <si>
    <t>Proses Update Product (Worker</t>
  </si>
  <si>
    <t>Tidak ada perubahan</t>
  </si>
  <si>
    <t>47.24</t>
  </si>
  <si>
    <t>15,107.34</t>
  </si>
  <si>
    <t>1,448.34</t>
  </si>
  <si>
    <t>19.62</t>
  </si>
  <si>
    <t>Note: Status OK hanya mengindikasikan bahwa Avg Sesudah downgrade masih aman terhadap performance db</t>
  </si>
  <si>
    <t>Ket</t>
  </si>
  <si>
    <t>Memungkinkan jika dilakukan penurunan spec Memory, namun harus memperhatikan Innodb_buffer_pool_size harus dilakukan penurunan terlebih dahulu</t>
  </si>
  <si>
    <t>Jika memory turun ke 32GB, inno db perlu diturunkan ke 22GB/70% dari Memory</t>
  </si>
  <si>
    <t>Worker bekerja per jam, kenaikan CPU terjadi karena worker, Tidak memungkinkan jika dilakukan penurunan spec CPU karena jika terjadi penurunan dari 16 ke 8 Core, CPU akan berada di angka 90% karena proses worker</t>
  </si>
  <si>
    <t>SAAT INI</t>
  </si>
  <si>
    <t>PLAN JIKA PENURUNAN SPEC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</si>
</sst>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7375E"/>
      <name val="Arial"/>
      <charset val="1"/>
    </font>
    <font>
      <sz val="10"/>
      <color rgb="FF17375E"/>
      <name val="Arial"/>
      <charset val="1"/>
    </font>
    <font>
      <sz val="10"/>
      <color rgb="FF000000"/>
      <name val="Arial"/>
      <charset val="1"/>
    </font>
    <font>
      <i/>
      <sz val="9"/>
      <color rgb="FF444444"/>
      <name val="Arial"/>
      <charset val="1"/>
    </font>
    <font>
      <sz val="9"/>
      <color rgb="FF333333"/>
      <name val="Arial"/>
      <charset val="1"/>
    </font>
    <font>
      <b/>
      <sz val="9"/>
      <color rgb="FF17375E"/>
      <name val="Arial"/>
      <charset val="1"/>
    </font>
    <font>
      <b/>
      <sz val="10"/>
      <color rgb="FF7F3F00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9"/>
      <color rgb="FF276221"/>
      <name val="Arial"/>
      <charset val="1"/>
    </font>
    <font>
      <sz val="10"/>
      <color rgb="FF7F3F00"/>
      <name val="Arial"/>
      <charset val="1"/>
    </font>
    <font>
      <b/>
      <sz val="10"/>
      <color rgb="FF3F3151"/>
      <name val="Arial"/>
      <charset val="1"/>
    </font>
    <font>
      <sz val="10"/>
      <color rgb="FF3F3151"/>
      <name val="Arial"/>
      <charset val="1"/>
    </font>
    <font>
      <b/>
      <sz val="9"/>
      <color rgb="FF9C0006"/>
      <name val="Arial"/>
      <charset val="1"/>
    </font>
    <font>
      <b/>
      <sz val="10"/>
      <color rgb="FF7B2020"/>
      <name val="Arial"/>
      <charset val="1"/>
    </font>
    <font>
      <sz val="10"/>
      <color rgb="FF7B2020"/>
      <name val="Arial"/>
      <charset val="1"/>
    </font>
    <font>
      <sz val="10"/>
      <color rgb="FF666666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7030A0"/>
      <name val="Arial"/>
      <charset val="1"/>
    </font>
    <font>
      <i/>
      <sz val="9"/>
      <color rgb="FF666666"/>
      <name val="Arial"/>
      <charset val="1"/>
    </font>
    <font>
      <sz val="10"/>
      <color rgb="FF000000"/>
      <name val="Arial"/>
      <family val="2"/>
    </font>
    <font>
      <sz val="10"/>
      <color rgb="FF66666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F2F2F2"/>
        <bgColor rgb="FFEBF1F9"/>
      </patternFill>
    </fill>
    <fill>
      <patternFill patternType="solid">
        <fgColor rgb="FF2E75B6"/>
        <bgColor rgb="FF0066CC"/>
      </patternFill>
    </fill>
    <fill>
      <patternFill patternType="solid">
        <fgColor rgb="FF4BACC6"/>
        <bgColor rgb="FF339966"/>
      </patternFill>
    </fill>
    <fill>
      <patternFill patternType="solid">
        <fgColor rgb="FFDAEEF3"/>
        <bgColor rgb="FFEBF1F9"/>
      </patternFill>
    </fill>
    <fill>
      <patternFill patternType="solid">
        <fgColor rgb="FFBDD7EE"/>
        <bgColor rgb="FFCCCCCC"/>
      </patternFill>
    </fill>
    <fill>
      <patternFill patternType="solid">
        <fgColor rgb="FFFDE9D9"/>
        <bgColor rgb="FFFCECEA"/>
      </patternFill>
    </fill>
    <fill>
      <patternFill patternType="solid">
        <fgColor rgb="FFFFFFFF"/>
        <bgColor rgb="FFFFFDE7"/>
      </patternFill>
    </fill>
    <fill>
      <patternFill patternType="solid">
        <fgColor rgb="FF76933C"/>
        <bgColor rgb="FF969696"/>
      </patternFill>
    </fill>
    <fill>
      <patternFill patternType="solid">
        <fgColor rgb="FFEBF1DE"/>
        <bgColor rgb="FFE8F5E9"/>
      </patternFill>
    </fill>
    <fill>
      <patternFill patternType="solid">
        <fgColor rgb="FFC6EFCE"/>
        <bgColor rgb="FFDAEEF3"/>
      </patternFill>
    </fill>
    <fill>
      <patternFill patternType="solid">
        <fgColor rgb="FFE36C09"/>
        <bgColor rgb="FFC0504D"/>
      </patternFill>
    </fill>
    <fill>
      <patternFill patternType="solid">
        <fgColor rgb="FF7030A0"/>
        <bgColor rgb="FF3F3151"/>
      </patternFill>
    </fill>
    <fill>
      <patternFill patternType="solid">
        <fgColor rgb="FFE6E0F0"/>
        <bgColor rgb="FFEDE7F6"/>
      </patternFill>
    </fill>
    <fill>
      <patternFill patternType="solid">
        <fgColor rgb="FFFFC7CE"/>
        <bgColor rgb="FFE6E0F0"/>
      </patternFill>
    </fill>
    <fill>
      <patternFill patternType="solid">
        <fgColor rgb="FFC0504D"/>
        <bgColor rgb="FFE36C09"/>
      </patternFill>
    </fill>
    <fill>
      <patternFill patternType="solid">
        <fgColor rgb="FFFCECEA"/>
        <bgColor rgb="FFFDE9D9"/>
      </patternFill>
    </fill>
    <fill>
      <patternFill patternType="solid">
        <fgColor rgb="FFEBF1F9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BF1DE"/>
      </patternFill>
    </fill>
    <fill>
      <patternFill patternType="solid">
        <fgColor rgb="FFEDE7F6"/>
        <bgColor rgb="FFE6E0F0"/>
      </patternFill>
    </fill>
    <fill>
      <patternFill patternType="solid">
        <fgColor rgb="FFFFF9C4"/>
        <bgColor rgb="FFFFFDE7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5" tint="0.59999389629810485"/>
        <bgColor rgb="FFFFFD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left" vertical="center"/>
    </xf>
    <xf numFmtId="164" fontId="24" fillId="22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left" vertical="center"/>
    </xf>
    <xf numFmtId="3" fontId="26" fillId="19" borderId="1" xfId="0" applyNumberFormat="1" applyFont="1" applyFill="1" applyBorder="1" applyAlignment="1">
      <alignment horizontal="center" vertical="center"/>
    </xf>
    <xf numFmtId="3" fontId="26" fillId="9" borderId="1" xfId="0" applyNumberFormat="1" applyFont="1" applyFill="1" applyBorder="1" applyAlignment="1">
      <alignment horizontal="center" vertical="center"/>
    </xf>
    <xf numFmtId="3" fontId="7" fillId="1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/>
    </xf>
    <xf numFmtId="9" fontId="0" fillId="0" borderId="0" xfId="0" applyNumberFormat="1"/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24" borderId="1" xfId="0" applyFont="1" applyFill="1" applyBorder="1" applyAlignment="1">
      <alignment horizontal="left" vertical="center"/>
    </xf>
    <xf numFmtId="0" fontId="21" fillId="24" borderId="1" xfId="0" applyFont="1" applyFill="1" applyBorder="1" applyAlignment="1">
      <alignment horizontal="center" vertical="center"/>
    </xf>
    <xf numFmtId="9" fontId="7" fillId="24" borderId="1" xfId="0" applyNumberFormat="1" applyFont="1" applyFill="1" applyBorder="1" applyAlignment="1">
      <alignment horizontal="center" vertical="center"/>
    </xf>
    <xf numFmtId="9" fontId="26" fillId="24" borderId="1" xfId="0" applyNumberFormat="1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left" vertical="center"/>
    </xf>
    <xf numFmtId="0" fontId="21" fillId="25" borderId="1" xfId="0" applyFont="1" applyFill="1" applyBorder="1" applyAlignment="1">
      <alignment horizontal="center" vertical="center"/>
    </xf>
    <xf numFmtId="9" fontId="7" fillId="25" borderId="1" xfId="0" applyNumberFormat="1" applyFont="1" applyFill="1" applyBorder="1" applyAlignment="1">
      <alignment horizontal="center" vertical="center"/>
    </xf>
    <xf numFmtId="9" fontId="26" fillId="25" borderId="1" xfId="0" applyNumberFormat="1" applyFont="1" applyFill="1" applyBorder="1" applyAlignment="1">
      <alignment horizontal="center" vertical="center"/>
    </xf>
    <xf numFmtId="0" fontId="22" fillId="25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15" fillId="2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9C0006"/>
      <rgbColor rgb="FF276221"/>
      <rgbColor rgb="FF000080"/>
      <rgbColor rgb="FF76933C"/>
      <rgbColor rgb="FF800080"/>
      <rgbColor rgb="FF008080"/>
      <rgbColor rgb="FFCCCCCC"/>
      <rgbColor rgb="FF555555"/>
      <rgbColor rgb="FFEBF1F9"/>
      <rgbColor rgb="FF7030A0"/>
      <rgbColor rgb="FFFFF9C4"/>
      <rgbColor rgb="FFDAEEF3"/>
      <rgbColor rgb="FF3F3151"/>
      <rgbColor rgb="FFFF8080"/>
      <rgbColor rgb="FF0066CC"/>
      <rgbColor rgb="FFBDD7EE"/>
      <rgbColor rgb="FF000080"/>
      <rgbColor rgb="FFFF00FF"/>
      <rgbColor rgb="FFFCECEA"/>
      <rgbColor rgb="FF00FFFF"/>
      <rgbColor rgb="FF800080"/>
      <rgbColor rgb="FF7B2020"/>
      <rgbColor rgb="FF008080"/>
      <rgbColor rgb="FF0000FF"/>
      <rgbColor rgb="FF00CCFF"/>
      <rgbColor rgb="FFE8F5E9"/>
      <rgbColor rgb="FFC6EFCE"/>
      <rgbColor rgb="FFFFFDE7"/>
      <rgbColor rgb="FFE6E0F0"/>
      <rgbColor rgb="FFFDE9D9"/>
      <rgbColor rgb="FFEDE7F6"/>
      <rgbColor rgb="FFFFC7CE"/>
      <rgbColor rgb="FF2E75B6"/>
      <rgbColor rgb="FF4BACC6"/>
      <rgbColor rgb="FF99CC00"/>
      <rgbColor rgb="FFF2F2F2"/>
      <rgbColor rgb="FFFF9900"/>
      <rgbColor rgb="FFE36C09"/>
      <rgbColor rgb="FF666666"/>
      <rgbColor rgb="FF969696"/>
      <rgbColor rgb="FF17375E"/>
      <rgbColor rgb="FF339966"/>
      <rgbColor rgb="FF375623"/>
      <rgbColor rgb="FF444444"/>
      <rgbColor rgb="FF7F3F00"/>
      <rgbColor rgb="FFC0504D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143382</xdr:colOff>
      <xdr:row>21</xdr:row>
      <xdr:rowOff>19719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9DC18-D553-8C45-8FBC-707FEE84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49275" y="0"/>
          <a:ext cx="3629532" cy="7325747"/>
        </a:xfrm>
        <a:prstGeom prst="rect">
          <a:avLst/>
        </a:prstGeom>
      </xdr:spPr>
    </xdr:pic>
    <xdr:clientData/>
  </xdr:twoCellAnchor>
  <xdr:twoCellAnchor>
    <xdr:from>
      <xdr:col>9</xdr:col>
      <xdr:colOff>104775</xdr:colOff>
      <xdr:row>14</xdr:row>
      <xdr:rowOff>57150</xdr:rowOff>
    </xdr:from>
    <xdr:to>
      <xdr:col>15</xdr:col>
      <xdr:colOff>66675</xdr:colOff>
      <xdr:row>21</xdr:row>
      <xdr:rowOff>266700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BE6D331-2196-8806-1F6D-91CE4E8FBF51}"/>
            </a:ext>
          </a:extLst>
        </xdr:cNvPr>
        <xdr:cNvSpPr/>
      </xdr:nvSpPr>
      <xdr:spPr>
        <a:xfrm>
          <a:off x="13354050" y="5038725"/>
          <a:ext cx="3448050" cy="2209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Normal="100" workbookViewId="0">
      <pane ySplit="3" topLeftCell="A13" activePane="bottomLeft" state="frozen"/>
      <selection pane="bottomLeft" activeCell="I16" sqref="I16"/>
    </sheetView>
  </sheetViews>
  <sheetFormatPr defaultColWidth="8.7109375" defaultRowHeight="15" x14ac:dyDescent="0.25"/>
  <cols>
    <col min="1" max="1" width="6.5703125" bestFit="1" customWidth="1"/>
    <col min="2" max="2" width="13.28515625" bestFit="1" customWidth="1"/>
    <col min="3" max="3" width="37.28515625" bestFit="1" customWidth="1"/>
    <col min="4" max="4" width="40.140625" bestFit="1" customWidth="1"/>
    <col min="5" max="5" width="44.42578125" bestFit="1" customWidth="1"/>
    <col min="6" max="6" width="9.5703125" bestFit="1" customWidth="1"/>
    <col min="7" max="7" width="11.140625" bestFit="1" customWidth="1"/>
    <col min="8" max="8" width="27.5703125" bestFit="1" customWidth="1"/>
  </cols>
  <sheetData>
    <row r="1" spans="1:8" ht="18" x14ac:dyDescent="0.25">
      <c r="A1" s="75" t="s">
        <v>0</v>
      </c>
      <c r="B1" s="75"/>
      <c r="C1" s="75"/>
      <c r="D1" s="75"/>
      <c r="E1" s="75"/>
      <c r="F1" s="75"/>
      <c r="G1" s="75"/>
      <c r="H1" s="75"/>
    </row>
    <row r="2" spans="1:8" x14ac:dyDescent="0.25">
      <c r="A2" s="76" t="s">
        <v>1</v>
      </c>
      <c r="B2" s="76"/>
      <c r="C2" s="76"/>
      <c r="D2" s="76"/>
      <c r="E2" s="76"/>
      <c r="F2" s="76"/>
      <c r="G2" s="76"/>
      <c r="H2" s="76"/>
    </row>
    <row r="3" spans="1: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79" t="s">
        <v>10</v>
      </c>
      <c r="B4" s="79"/>
      <c r="C4" s="79"/>
      <c r="D4" s="79"/>
      <c r="E4" s="79"/>
      <c r="F4" s="79"/>
      <c r="G4" s="79"/>
      <c r="H4" s="79"/>
    </row>
    <row r="5" spans="1:8" ht="25.5" x14ac:dyDescent="0.25">
      <c r="A5" s="2">
        <v>1</v>
      </c>
      <c r="B5" s="3" t="s">
        <v>11</v>
      </c>
      <c r="C5" s="4" t="s">
        <v>12</v>
      </c>
      <c r="D5" s="5" t="s">
        <v>13</v>
      </c>
      <c r="E5" s="6" t="s">
        <v>14</v>
      </c>
      <c r="F5" s="7" t="s">
        <v>15</v>
      </c>
      <c r="G5" s="8" t="s">
        <v>128</v>
      </c>
      <c r="H5" s="9" t="s">
        <v>132</v>
      </c>
    </row>
    <row r="6" spans="1:8" ht="25.5" x14ac:dyDescent="0.25">
      <c r="A6" s="2">
        <v>2</v>
      </c>
      <c r="B6" s="3" t="s">
        <v>11</v>
      </c>
      <c r="C6" s="4" t="s">
        <v>17</v>
      </c>
      <c r="D6" s="5" t="s">
        <v>18</v>
      </c>
      <c r="E6" s="6" t="s">
        <v>19</v>
      </c>
      <c r="F6" s="7" t="s">
        <v>15</v>
      </c>
      <c r="G6" s="8" t="s">
        <v>128</v>
      </c>
      <c r="H6" s="9" t="s">
        <v>124</v>
      </c>
    </row>
    <row r="7" spans="1:8" ht="63.75" x14ac:dyDescent="0.25">
      <c r="A7" s="2">
        <v>3</v>
      </c>
      <c r="B7" s="3" t="s">
        <v>11</v>
      </c>
      <c r="C7" s="4" t="s">
        <v>20</v>
      </c>
      <c r="D7" s="5" t="s">
        <v>21</v>
      </c>
      <c r="E7" s="6" t="s">
        <v>22</v>
      </c>
      <c r="F7" s="7" t="s">
        <v>15</v>
      </c>
      <c r="G7" s="8" t="s">
        <v>128</v>
      </c>
      <c r="H7" s="9" t="s">
        <v>133</v>
      </c>
    </row>
    <row r="8" spans="1:8" ht="51" x14ac:dyDescent="0.25">
      <c r="A8" s="2">
        <v>4</v>
      </c>
      <c r="B8" s="3" t="s">
        <v>11</v>
      </c>
      <c r="C8" s="4" t="s">
        <v>23</v>
      </c>
      <c r="D8" s="5" t="s">
        <v>24</v>
      </c>
      <c r="E8" s="6" t="s">
        <v>25</v>
      </c>
      <c r="F8" s="7" t="s">
        <v>15</v>
      </c>
      <c r="G8" s="8" t="s">
        <v>128</v>
      </c>
      <c r="H8" s="9" t="s">
        <v>125</v>
      </c>
    </row>
    <row r="9" spans="1:8" ht="25.5" x14ac:dyDescent="0.25">
      <c r="A9" s="2">
        <v>5</v>
      </c>
      <c r="B9" s="3" t="s">
        <v>11</v>
      </c>
      <c r="C9" s="4" t="s">
        <v>26</v>
      </c>
      <c r="D9" s="5" t="s">
        <v>27</v>
      </c>
      <c r="E9" s="6" t="s">
        <v>28</v>
      </c>
      <c r="F9" s="7" t="s">
        <v>15</v>
      </c>
      <c r="G9" s="8" t="s">
        <v>128</v>
      </c>
      <c r="H9" s="9" t="s">
        <v>135</v>
      </c>
    </row>
    <row r="10" spans="1:8" x14ac:dyDescent="0.25">
      <c r="A10" s="80" t="s">
        <v>29</v>
      </c>
      <c r="B10" s="80"/>
      <c r="C10" s="80"/>
      <c r="D10" s="80"/>
      <c r="E10" s="80"/>
      <c r="F10" s="80"/>
      <c r="G10" s="80"/>
      <c r="H10" s="80"/>
    </row>
    <row r="11" spans="1:8" ht="24" x14ac:dyDescent="0.25">
      <c r="A11" s="10">
        <v>6</v>
      </c>
      <c r="B11" s="11" t="s">
        <v>30</v>
      </c>
      <c r="C11" s="12" t="s">
        <v>31</v>
      </c>
      <c r="D11" s="13" t="s">
        <v>32</v>
      </c>
      <c r="E11" s="14" t="s">
        <v>33</v>
      </c>
      <c r="F11" s="15" t="s">
        <v>34</v>
      </c>
      <c r="G11" s="8" t="s">
        <v>128</v>
      </c>
      <c r="H11" s="9" t="s">
        <v>127</v>
      </c>
    </row>
    <row r="12" spans="1:8" ht="25.5" x14ac:dyDescent="0.25">
      <c r="A12" s="10">
        <v>7</v>
      </c>
      <c r="B12" s="11" t="s">
        <v>30</v>
      </c>
      <c r="C12" s="12" t="s">
        <v>131</v>
      </c>
      <c r="D12" s="13" t="s">
        <v>35</v>
      </c>
      <c r="E12" s="14" t="s">
        <v>36</v>
      </c>
      <c r="F12" s="15" t="s">
        <v>34</v>
      </c>
      <c r="G12" s="8" t="s">
        <v>16</v>
      </c>
      <c r="H12" s="9" t="s">
        <v>126</v>
      </c>
    </row>
    <row r="13" spans="1:8" ht="48" x14ac:dyDescent="0.25">
      <c r="A13" s="10">
        <v>8</v>
      </c>
      <c r="B13" s="11" t="s">
        <v>30</v>
      </c>
      <c r="C13" s="12" t="s">
        <v>37</v>
      </c>
      <c r="D13" s="13" t="s">
        <v>38</v>
      </c>
      <c r="E13" s="14" t="s">
        <v>39</v>
      </c>
      <c r="F13" s="15" t="s">
        <v>34</v>
      </c>
      <c r="G13" s="8" t="s">
        <v>16</v>
      </c>
      <c r="H13" s="9" t="s">
        <v>126</v>
      </c>
    </row>
    <row r="14" spans="1:8" ht="38.25" x14ac:dyDescent="0.25">
      <c r="A14" s="10">
        <v>9</v>
      </c>
      <c r="B14" s="11" t="s">
        <v>30</v>
      </c>
      <c r="C14" s="12" t="s">
        <v>40</v>
      </c>
      <c r="D14" s="13" t="s">
        <v>41</v>
      </c>
      <c r="E14" s="14" t="s">
        <v>42</v>
      </c>
      <c r="F14" s="15" t="s">
        <v>34</v>
      </c>
      <c r="G14" s="8" t="s">
        <v>128</v>
      </c>
      <c r="H14" s="9" t="s">
        <v>138</v>
      </c>
    </row>
    <row r="15" spans="1:8" x14ac:dyDescent="0.25">
      <c r="A15" s="81" t="s">
        <v>43</v>
      </c>
      <c r="B15" s="81"/>
      <c r="C15" s="81"/>
      <c r="D15" s="81"/>
      <c r="E15" s="81"/>
      <c r="F15" s="81"/>
      <c r="G15" s="81"/>
      <c r="H15" s="81"/>
    </row>
    <row r="16" spans="1:8" ht="25.5" x14ac:dyDescent="0.25">
      <c r="A16" s="8">
        <v>10</v>
      </c>
      <c r="B16" s="16" t="s">
        <v>44</v>
      </c>
      <c r="C16" s="17" t="s">
        <v>45</v>
      </c>
      <c r="D16" s="18" t="s">
        <v>46</v>
      </c>
      <c r="E16" s="19" t="s">
        <v>47</v>
      </c>
      <c r="F16" s="15" t="s">
        <v>34</v>
      </c>
      <c r="G16" s="8" t="s">
        <v>128</v>
      </c>
      <c r="H16" s="9" t="s">
        <v>136</v>
      </c>
    </row>
    <row r="17" spans="1:8" ht="25.5" x14ac:dyDescent="0.25">
      <c r="A17" s="8">
        <v>11</v>
      </c>
      <c r="B17" s="16" t="s">
        <v>44</v>
      </c>
      <c r="C17" s="17" t="s">
        <v>48</v>
      </c>
      <c r="D17" s="18" t="s">
        <v>49</v>
      </c>
      <c r="E17" s="19" t="s">
        <v>50</v>
      </c>
      <c r="F17" s="15" t="s">
        <v>34</v>
      </c>
      <c r="G17" s="8" t="s">
        <v>128</v>
      </c>
      <c r="H17" s="9" t="s">
        <v>137</v>
      </c>
    </row>
    <row r="18" spans="1:8" ht="25.5" x14ac:dyDescent="0.25">
      <c r="A18" s="8">
        <v>12</v>
      </c>
      <c r="B18" s="16" t="s">
        <v>44</v>
      </c>
      <c r="C18" s="17" t="s">
        <v>51</v>
      </c>
      <c r="D18" s="18" t="s">
        <v>52</v>
      </c>
      <c r="E18" s="19" t="s">
        <v>53</v>
      </c>
      <c r="F18" s="15" t="s">
        <v>34</v>
      </c>
      <c r="G18" s="8" t="s">
        <v>128</v>
      </c>
      <c r="H18" s="9" t="s">
        <v>134</v>
      </c>
    </row>
    <row r="19" spans="1:8" ht="25.5" x14ac:dyDescent="0.25">
      <c r="A19" s="8">
        <v>13</v>
      </c>
      <c r="B19" s="16" t="s">
        <v>44</v>
      </c>
      <c r="C19" s="17" t="s">
        <v>54</v>
      </c>
      <c r="D19" s="18" t="s">
        <v>55</v>
      </c>
      <c r="E19" s="19" t="s">
        <v>56</v>
      </c>
      <c r="F19" s="15" t="s">
        <v>34</v>
      </c>
      <c r="G19" s="8" t="s">
        <v>16</v>
      </c>
      <c r="H19" s="9"/>
    </row>
    <row r="20" spans="1:8" x14ac:dyDescent="0.25">
      <c r="A20" s="77" t="s">
        <v>57</v>
      </c>
      <c r="B20" s="77"/>
      <c r="C20" s="77"/>
      <c r="D20" s="77"/>
      <c r="E20" s="77"/>
      <c r="F20" s="77"/>
      <c r="G20" s="77"/>
      <c r="H20" s="77"/>
    </row>
    <row r="21" spans="1:8" ht="38.25" x14ac:dyDescent="0.25">
      <c r="A21" s="20">
        <v>14</v>
      </c>
      <c r="B21" s="21" t="s">
        <v>58</v>
      </c>
      <c r="C21" s="22" t="s">
        <v>59</v>
      </c>
      <c r="D21" s="23" t="s">
        <v>60</v>
      </c>
      <c r="E21" s="24" t="s">
        <v>61</v>
      </c>
      <c r="F21" s="25" t="s">
        <v>62</v>
      </c>
      <c r="G21" s="8" t="s">
        <v>128</v>
      </c>
      <c r="H21" s="9" t="s">
        <v>139</v>
      </c>
    </row>
    <row r="22" spans="1:8" ht="25.5" x14ac:dyDescent="0.25">
      <c r="A22" s="20">
        <v>15</v>
      </c>
      <c r="B22" s="21" t="s">
        <v>58</v>
      </c>
      <c r="C22" s="22" t="s">
        <v>63</v>
      </c>
      <c r="D22" s="23" t="s">
        <v>64</v>
      </c>
      <c r="E22" s="24" t="s">
        <v>65</v>
      </c>
      <c r="F22" s="25" t="s">
        <v>62</v>
      </c>
      <c r="G22" s="8" t="s">
        <v>128</v>
      </c>
      <c r="H22" s="9" t="s">
        <v>140</v>
      </c>
    </row>
    <row r="23" spans="1:8" ht="24" x14ac:dyDescent="0.25">
      <c r="A23" s="20">
        <v>16</v>
      </c>
      <c r="B23" s="21" t="s">
        <v>58</v>
      </c>
      <c r="C23" s="22" t="s">
        <v>66</v>
      </c>
      <c r="D23" s="23" t="s">
        <v>67</v>
      </c>
      <c r="E23" s="24" t="s">
        <v>68</v>
      </c>
      <c r="F23" s="25" t="s">
        <v>62</v>
      </c>
      <c r="G23" s="8" t="s">
        <v>128</v>
      </c>
      <c r="H23" s="9"/>
    </row>
    <row r="24" spans="1:8" x14ac:dyDescent="0.25">
      <c r="A24" s="78" t="s">
        <v>69</v>
      </c>
      <c r="B24" s="78"/>
      <c r="C24" s="78"/>
      <c r="D24" s="78"/>
      <c r="E24" s="78"/>
      <c r="F24" s="78"/>
      <c r="G24" s="78"/>
      <c r="H24" s="78"/>
    </row>
    <row r="25" spans="1:8" ht="25.5" x14ac:dyDescent="0.25">
      <c r="A25" s="26">
        <v>17</v>
      </c>
      <c r="B25" s="27" t="s">
        <v>70</v>
      </c>
      <c r="C25" s="28" t="s">
        <v>71</v>
      </c>
      <c r="D25" s="29" t="s">
        <v>72</v>
      </c>
      <c r="E25" s="30" t="s">
        <v>73</v>
      </c>
      <c r="F25" s="7" t="s">
        <v>15</v>
      </c>
      <c r="G25" s="8" t="s">
        <v>128</v>
      </c>
      <c r="H25" s="9" t="s">
        <v>141</v>
      </c>
    </row>
    <row r="26" spans="1:8" ht="25.5" x14ac:dyDescent="0.25">
      <c r="A26" s="26">
        <v>18</v>
      </c>
      <c r="B26" s="27" t="s">
        <v>70</v>
      </c>
      <c r="C26" s="28" t="s">
        <v>74</v>
      </c>
      <c r="D26" s="29" t="s">
        <v>75</v>
      </c>
      <c r="E26" s="30" t="s">
        <v>76</v>
      </c>
      <c r="F26" s="15" t="s">
        <v>34</v>
      </c>
      <c r="G26" s="8" t="s">
        <v>128</v>
      </c>
      <c r="H26" s="9" t="s">
        <v>145</v>
      </c>
    </row>
    <row r="27" spans="1:8" ht="25.5" x14ac:dyDescent="0.25">
      <c r="A27" s="26">
        <v>19</v>
      </c>
      <c r="B27" s="27" t="s">
        <v>70</v>
      </c>
      <c r="C27" s="28" t="s">
        <v>77</v>
      </c>
      <c r="D27" s="29" t="s">
        <v>41</v>
      </c>
      <c r="E27" s="30" t="s">
        <v>78</v>
      </c>
      <c r="F27" s="15" t="s">
        <v>34</v>
      </c>
      <c r="G27" s="8" t="s">
        <v>142</v>
      </c>
      <c r="H27" s="9" t="s">
        <v>143</v>
      </c>
    </row>
    <row r="28" spans="1:8" ht="25.5" x14ac:dyDescent="0.25">
      <c r="A28" s="26">
        <v>20</v>
      </c>
      <c r="B28" s="27" t="s">
        <v>70</v>
      </c>
      <c r="C28" s="28" t="s">
        <v>79</v>
      </c>
      <c r="D28" s="29" t="s">
        <v>80</v>
      </c>
      <c r="E28" s="30" t="s">
        <v>81</v>
      </c>
      <c r="F28" s="7" t="s">
        <v>15</v>
      </c>
      <c r="G28" s="8" t="s">
        <v>16</v>
      </c>
      <c r="H28" s="9" t="s">
        <v>144</v>
      </c>
    </row>
  </sheetData>
  <autoFilter ref="A3:H28" xr:uid="{00000000-0009-0000-0000-000000000000}"/>
  <mergeCells count="7">
    <mergeCell ref="A20:H20"/>
    <mergeCell ref="A24:H24"/>
    <mergeCell ref="A1:H1"/>
    <mergeCell ref="A2:H2"/>
    <mergeCell ref="A4:H4"/>
    <mergeCell ref="A10:H10"/>
    <mergeCell ref="A15:H15"/>
  </mergeCells>
  <dataValidations count="1">
    <dataValidation type="list" allowBlank="1" sqref="G25:G28 G21:G23 G16:G19 G11:G14 G5:G9" xr:uid="{00000000-0002-0000-0000-000000000000}">
      <formula1>"Belum,Sedang,Selesai,N/A"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Normal="100" workbookViewId="0">
      <pane ySplit="3" topLeftCell="A4" activePane="bottomLeft" state="frozen"/>
      <selection pane="bottomLeft" activeCell="K5" sqref="K5"/>
    </sheetView>
  </sheetViews>
  <sheetFormatPr defaultColWidth="8.7109375" defaultRowHeight="15" x14ac:dyDescent="0.25"/>
  <cols>
    <col min="1" max="1" width="30" customWidth="1"/>
    <col min="2" max="2" width="12" customWidth="1"/>
    <col min="3" max="3" width="19.7109375" bestFit="1" customWidth="1"/>
    <col min="4" max="6" width="18" customWidth="1"/>
    <col min="7" max="7" width="11.5703125" bestFit="1" customWidth="1"/>
    <col min="8" max="8" width="32.7109375" customWidth="1"/>
  </cols>
  <sheetData>
    <row r="1" spans="1:16" ht="18" x14ac:dyDescent="0.25">
      <c r="A1" s="75" t="s">
        <v>82</v>
      </c>
      <c r="B1" s="75"/>
      <c r="C1" s="75"/>
      <c r="D1" s="75"/>
      <c r="E1" s="75"/>
      <c r="F1" s="75"/>
      <c r="G1" s="75"/>
    </row>
    <row r="2" spans="1:16" x14ac:dyDescent="0.25">
      <c r="A2" s="76" t="s">
        <v>83</v>
      </c>
      <c r="B2" s="76"/>
      <c r="C2" s="76"/>
      <c r="D2" s="76"/>
      <c r="E2" s="76"/>
      <c r="F2" s="76"/>
      <c r="G2" s="76"/>
    </row>
    <row r="3" spans="1:16" x14ac:dyDescent="0.25">
      <c r="A3" s="1" t="s">
        <v>15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</v>
      </c>
      <c r="H3" s="59" t="s">
        <v>151</v>
      </c>
    </row>
    <row r="4" spans="1:16" ht="105" x14ac:dyDescent="0.25">
      <c r="A4" s="61" t="s">
        <v>89</v>
      </c>
      <c r="B4" s="62" t="s">
        <v>90</v>
      </c>
      <c r="C4" s="63">
        <v>0.23</v>
      </c>
      <c r="D4" s="63">
        <v>0.36</v>
      </c>
      <c r="E4" s="63">
        <v>0.42</v>
      </c>
      <c r="F4" s="64">
        <v>0.45</v>
      </c>
      <c r="G4" s="65" t="str">
        <f t="shared" ref="G4:G13" si="0">IF(AND(E4&lt;&gt;"",C4&lt;&gt;""),IF(E4&lt;=C4*1.1,"OK","PERHATIAN"),"-")</f>
        <v>PERHATIAN</v>
      </c>
      <c r="H4" s="60" t="s">
        <v>154</v>
      </c>
    </row>
    <row r="5" spans="1:16" ht="90" x14ac:dyDescent="0.25">
      <c r="A5" s="66" t="s">
        <v>91</v>
      </c>
      <c r="B5" s="67" t="s">
        <v>90</v>
      </c>
      <c r="C5" s="68">
        <v>0.81030000000000002</v>
      </c>
      <c r="D5" s="68">
        <v>0.81</v>
      </c>
      <c r="E5" s="68">
        <v>0.41149000000000002</v>
      </c>
      <c r="F5" s="69">
        <v>0.64</v>
      </c>
      <c r="G5" s="70" t="str">
        <f t="shared" si="0"/>
        <v>OK</v>
      </c>
      <c r="H5" s="60" t="s">
        <v>152</v>
      </c>
      <c r="M5" s="58"/>
    </row>
    <row r="6" spans="1:16" x14ac:dyDescent="0.25">
      <c r="A6" s="31" t="s">
        <v>92</v>
      </c>
      <c r="B6" s="32" t="s">
        <v>93</v>
      </c>
      <c r="C6" s="47">
        <v>65</v>
      </c>
      <c r="D6" s="47">
        <v>260</v>
      </c>
      <c r="E6" s="33">
        <v>15</v>
      </c>
      <c r="F6" s="33">
        <v>60</v>
      </c>
      <c r="G6" s="34" t="str">
        <f t="shared" si="0"/>
        <v>OK</v>
      </c>
      <c r="M6" s="58"/>
      <c r="P6" s="58"/>
    </row>
    <row r="7" spans="1:16" x14ac:dyDescent="0.25">
      <c r="A7" s="35" t="s">
        <v>94</v>
      </c>
      <c r="B7" s="36" t="s">
        <v>93</v>
      </c>
      <c r="C7" s="37">
        <v>67</v>
      </c>
      <c r="D7" s="37">
        <v>260</v>
      </c>
      <c r="E7" s="37">
        <v>15</v>
      </c>
      <c r="F7" s="37">
        <v>60</v>
      </c>
      <c r="G7" s="38" t="str">
        <f t="shared" si="0"/>
        <v>OK</v>
      </c>
    </row>
    <row r="8" spans="1:16" x14ac:dyDescent="0.25">
      <c r="A8" s="48" t="s">
        <v>95</v>
      </c>
      <c r="B8" s="32" t="s">
        <v>95</v>
      </c>
      <c r="C8" s="52">
        <v>459</v>
      </c>
      <c r="D8" s="33" t="s">
        <v>147</v>
      </c>
      <c r="E8" s="54">
        <v>315</v>
      </c>
      <c r="F8" s="47" t="s">
        <v>148</v>
      </c>
      <c r="G8" s="34" t="str">
        <f t="shared" si="0"/>
        <v>OK</v>
      </c>
    </row>
    <row r="9" spans="1:16" x14ac:dyDescent="0.25">
      <c r="A9" s="31" t="s">
        <v>96</v>
      </c>
      <c r="B9" s="32" t="s">
        <v>97</v>
      </c>
      <c r="C9" s="52">
        <v>2577</v>
      </c>
      <c r="D9" s="54">
        <v>233958</v>
      </c>
      <c r="E9" s="33">
        <v>1</v>
      </c>
      <c r="F9" s="47" t="s">
        <v>149</v>
      </c>
      <c r="G9" s="34" t="str">
        <f t="shared" si="0"/>
        <v>OK</v>
      </c>
    </row>
    <row r="10" spans="1:16" x14ac:dyDescent="0.25">
      <c r="A10" s="35" t="s">
        <v>98</v>
      </c>
      <c r="B10" s="36" t="s">
        <v>97</v>
      </c>
      <c r="C10" s="53">
        <v>10781</v>
      </c>
      <c r="D10" s="55">
        <v>274074</v>
      </c>
      <c r="E10" s="37">
        <v>8</v>
      </c>
      <c r="F10" s="55">
        <v>30745</v>
      </c>
      <c r="G10" s="38" t="str">
        <f t="shared" si="0"/>
        <v>OK</v>
      </c>
    </row>
    <row r="11" spans="1:16" x14ac:dyDescent="0.25">
      <c r="A11" s="31" t="s">
        <v>99</v>
      </c>
      <c r="B11" s="32" t="s">
        <v>100</v>
      </c>
      <c r="C11" s="47">
        <v>16</v>
      </c>
      <c r="D11" s="33">
        <v>126</v>
      </c>
      <c r="E11" s="33">
        <v>13</v>
      </c>
      <c r="F11" s="33">
        <v>23</v>
      </c>
      <c r="G11" s="34" t="str">
        <f t="shared" si="0"/>
        <v>OK</v>
      </c>
    </row>
    <row r="12" spans="1:16" ht="45" x14ac:dyDescent="0.25">
      <c r="A12" s="71" t="s">
        <v>101</v>
      </c>
      <c r="B12" s="72" t="s">
        <v>102</v>
      </c>
      <c r="C12" s="73">
        <v>47</v>
      </c>
      <c r="D12" s="73" t="s">
        <v>146</v>
      </c>
      <c r="E12" s="73">
        <v>47</v>
      </c>
      <c r="F12" s="74">
        <v>47</v>
      </c>
      <c r="G12" s="65" t="str">
        <f t="shared" si="0"/>
        <v>OK</v>
      </c>
      <c r="H12" s="60" t="s">
        <v>153</v>
      </c>
    </row>
    <row r="13" spans="1:16" x14ac:dyDescent="0.25">
      <c r="A13" s="51" t="s">
        <v>129</v>
      </c>
      <c r="B13" s="50" t="s">
        <v>130</v>
      </c>
      <c r="C13" s="49">
        <v>3307598</v>
      </c>
      <c r="D13" s="49">
        <v>9104493</v>
      </c>
      <c r="E13" s="49">
        <v>2843664</v>
      </c>
      <c r="F13" s="37">
        <v>3367143</v>
      </c>
      <c r="G13" s="38" t="str">
        <f t="shared" si="0"/>
        <v>OK</v>
      </c>
    </row>
    <row r="15" spans="1:16" x14ac:dyDescent="0.25">
      <c r="A15" t="s">
        <v>150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zoomScaleNormal="100" workbookViewId="0">
      <selection activeCell="I21" sqref="I21"/>
    </sheetView>
  </sheetViews>
  <sheetFormatPr defaultColWidth="8.7109375" defaultRowHeight="15" x14ac:dyDescent="0.25"/>
  <cols>
    <col min="1" max="1" width="28" customWidth="1"/>
    <col min="2" max="3" width="22" customWidth="1"/>
    <col min="4" max="4" width="18" customWidth="1"/>
    <col min="5" max="5" width="35" customWidth="1"/>
  </cols>
  <sheetData>
    <row r="1" spans="1:6" ht="36" customHeight="1" x14ac:dyDescent="0.25">
      <c r="A1" s="75" t="s">
        <v>103</v>
      </c>
      <c r="B1" s="75"/>
      <c r="C1" s="75"/>
      <c r="D1" s="75"/>
      <c r="E1" s="75"/>
      <c r="F1" s="83" t="s">
        <v>155</v>
      </c>
    </row>
    <row r="2" spans="1:6" ht="21.75" customHeight="1" x14ac:dyDescent="0.25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83"/>
    </row>
    <row r="3" spans="1:6" ht="24" customHeight="1" x14ac:dyDescent="0.25">
      <c r="A3" s="39" t="s">
        <v>109</v>
      </c>
      <c r="B3" s="40">
        <v>32</v>
      </c>
      <c r="C3" s="41">
        <v>16</v>
      </c>
      <c r="D3" s="42">
        <f>IF(AND(B3&lt;&gt;"",C3&lt;&gt;""),C3-B3,"-")</f>
        <v>-16</v>
      </c>
      <c r="E3" s="43" t="s">
        <v>110</v>
      </c>
      <c r="F3" s="83"/>
    </row>
    <row r="4" spans="1:6" ht="24" customHeight="1" x14ac:dyDescent="0.25">
      <c r="A4" s="44" t="s">
        <v>111</v>
      </c>
      <c r="B4" s="40">
        <v>64</v>
      </c>
      <c r="C4" s="41">
        <v>64</v>
      </c>
      <c r="D4" s="42">
        <f>IF(AND(B4&lt;&gt;"",C4&lt;&gt;""),C4-B4,"-")</f>
        <v>0</v>
      </c>
      <c r="E4" s="45" t="s">
        <v>112</v>
      </c>
      <c r="F4" s="83"/>
    </row>
    <row r="5" spans="1:6" ht="24" customHeight="1" x14ac:dyDescent="0.25">
      <c r="A5" s="44" t="s">
        <v>113</v>
      </c>
      <c r="B5" s="56">
        <v>7.3</v>
      </c>
      <c r="C5" s="57">
        <v>4.45</v>
      </c>
      <c r="D5" s="42">
        <f>IF(AND(B5&lt;&gt;"",C5&lt;&gt;""),C5-B5,"-")</f>
        <v>-2.8499999999999996</v>
      </c>
      <c r="E5" s="45" t="s">
        <v>114</v>
      </c>
      <c r="F5" s="83"/>
    </row>
    <row r="6" spans="1:6" ht="24" customHeight="1" x14ac:dyDescent="0.25">
      <c r="A6" s="39" t="s">
        <v>115</v>
      </c>
      <c r="B6" s="40">
        <v>5332</v>
      </c>
      <c r="C6" s="41">
        <v>3245</v>
      </c>
      <c r="D6" s="42">
        <f>IF(AND(B6&lt;&gt;"",C6&lt;&gt;""),C6-B6,"-")</f>
        <v>-2087</v>
      </c>
      <c r="E6" s="43" t="s">
        <v>116</v>
      </c>
      <c r="F6" s="83"/>
    </row>
    <row r="7" spans="1:6" ht="24" customHeight="1" x14ac:dyDescent="0.25">
      <c r="A7" s="44" t="s">
        <v>117</v>
      </c>
      <c r="B7" s="40"/>
      <c r="C7" s="41"/>
      <c r="D7" s="42">
        <f>IF(AND(B6&lt;&gt;"",C6&lt;&gt;""),B6-C6,"-")</f>
        <v>2087</v>
      </c>
      <c r="E7" s="45" t="s">
        <v>118</v>
      </c>
      <c r="F7" s="83"/>
    </row>
    <row r="8" spans="1:6" ht="24" customHeight="1" x14ac:dyDescent="0.25">
      <c r="A8" s="39" t="s">
        <v>119</v>
      </c>
      <c r="B8" s="40"/>
      <c r="C8" s="41"/>
      <c r="D8" s="42" t="str">
        <f>IF(AND(B7&lt;&gt;"",C7&lt;&gt;""),B7-C7,"-")</f>
        <v>-</v>
      </c>
      <c r="E8" s="43" t="s">
        <v>120</v>
      </c>
      <c r="F8" s="83"/>
    </row>
    <row r="9" spans="1:6" ht="24" customHeight="1" x14ac:dyDescent="0.25">
      <c r="A9" s="44" t="s">
        <v>121</v>
      </c>
      <c r="B9" s="40"/>
      <c r="C9" s="41"/>
      <c r="D9" s="46">
        <f>IF(AND(B6&lt;&gt;"",C6&lt;&gt;"",B6&lt;&gt;0),(B6-C6)/B6,"-")</f>
        <v>0.39141035258814705</v>
      </c>
      <c r="E9" s="45" t="s">
        <v>122</v>
      </c>
      <c r="F9" s="83"/>
    </row>
    <row r="11" spans="1:6" ht="27.75" customHeight="1" x14ac:dyDescent="0.25">
      <c r="A11" s="82" t="s">
        <v>123</v>
      </c>
      <c r="B11" s="82"/>
      <c r="C11" s="82"/>
      <c r="D11" s="82"/>
      <c r="E11" s="82"/>
    </row>
    <row r="13" spans="1:6" ht="18" x14ac:dyDescent="0.25">
      <c r="A13" s="75" t="s">
        <v>103</v>
      </c>
      <c r="B13" s="75"/>
      <c r="C13" s="75"/>
      <c r="D13" s="75"/>
      <c r="E13" s="75"/>
      <c r="F13" s="84" t="s">
        <v>156</v>
      </c>
    </row>
    <row r="14" spans="1:6" x14ac:dyDescent="0.2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84"/>
    </row>
    <row r="15" spans="1:6" x14ac:dyDescent="0.25">
      <c r="A15" s="39" t="s">
        <v>109</v>
      </c>
      <c r="B15" s="40">
        <v>16</v>
      </c>
      <c r="C15" s="41">
        <v>16</v>
      </c>
      <c r="D15" s="42">
        <f>IF(AND(B15&lt;&gt;"",C15&lt;&gt;""),C15-B15,"-")</f>
        <v>0</v>
      </c>
      <c r="E15" s="43" t="s">
        <v>110</v>
      </c>
      <c r="F15" s="84"/>
    </row>
    <row r="16" spans="1:6" x14ac:dyDescent="0.25">
      <c r="A16" s="44" t="s">
        <v>111</v>
      </c>
      <c r="B16" s="40">
        <v>64</v>
      </c>
      <c r="C16" s="41">
        <v>32</v>
      </c>
      <c r="D16" s="42">
        <f>IF(AND(B16&lt;&gt;"",C16&lt;&gt;""),C16-B16,"-")</f>
        <v>-32</v>
      </c>
      <c r="E16" s="45" t="s">
        <v>112</v>
      </c>
      <c r="F16" s="84"/>
    </row>
    <row r="17" spans="1:6" x14ac:dyDescent="0.25">
      <c r="A17" s="44" t="s">
        <v>113</v>
      </c>
      <c r="B17" s="56">
        <v>4.45</v>
      </c>
      <c r="C17" s="57">
        <v>4.09</v>
      </c>
      <c r="D17" s="42">
        <f>IF(AND(B17&lt;&gt;"",C17&lt;&gt;""),C17-B17,"-")</f>
        <v>-0.36000000000000032</v>
      </c>
      <c r="E17" s="45" t="s">
        <v>114</v>
      </c>
      <c r="F17" s="84"/>
    </row>
    <row r="18" spans="1:6" x14ac:dyDescent="0.25">
      <c r="A18" s="39" t="s">
        <v>115</v>
      </c>
      <c r="B18" s="40">
        <v>3245.29</v>
      </c>
      <c r="C18" s="41">
        <v>2984.68</v>
      </c>
      <c r="D18" s="42">
        <f>IF(AND(B18&lt;&gt;"",C18&lt;&gt;""),C18-B18,"-")</f>
        <v>-260.61000000000013</v>
      </c>
      <c r="E18" s="43" t="s">
        <v>116</v>
      </c>
      <c r="F18" s="84"/>
    </row>
    <row r="19" spans="1:6" x14ac:dyDescent="0.25">
      <c r="A19" s="44" t="s">
        <v>117</v>
      </c>
      <c r="B19" s="40"/>
      <c r="C19" s="41"/>
      <c r="D19" s="42">
        <f>IF(AND(B18&lt;&gt;"",C18&lt;&gt;""),B18-C18,"-")</f>
        <v>260.61000000000013</v>
      </c>
      <c r="E19" s="45" t="s">
        <v>118</v>
      </c>
      <c r="F19" s="84"/>
    </row>
    <row r="20" spans="1:6" x14ac:dyDescent="0.25">
      <c r="A20" s="39" t="s">
        <v>119</v>
      </c>
      <c r="B20" s="40"/>
      <c r="C20" s="41"/>
      <c r="D20" s="42" t="str">
        <f>IF(AND(B19&lt;&gt;"",C19&lt;&gt;""),B19-C19,"-")</f>
        <v>-</v>
      </c>
      <c r="E20" s="43" t="s">
        <v>120</v>
      </c>
      <c r="F20" s="84"/>
    </row>
    <row r="21" spans="1:6" x14ac:dyDescent="0.25">
      <c r="A21" s="44" t="s">
        <v>121</v>
      </c>
      <c r="B21" s="40"/>
      <c r="C21" s="41"/>
      <c r="D21" s="46">
        <f>IF(AND(B18&lt;&gt;"",C18&lt;&gt;"",B18&lt;&gt;0),(B18-C18)/B18,"-")</f>
        <v>8.030407143891613E-2</v>
      </c>
      <c r="E21" s="45" t="s">
        <v>122</v>
      </c>
      <c r="F21" s="84"/>
    </row>
  </sheetData>
  <mergeCells count="5">
    <mergeCell ref="A1:E1"/>
    <mergeCell ref="A11:E11"/>
    <mergeCell ref="A13:E13"/>
    <mergeCell ref="F1:F9"/>
    <mergeCell ref="F13:F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Rightsizing</vt:lpstr>
      <vt:lpstr>Metric Baseline</vt:lpstr>
      <vt:lpstr>Perbandingan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sholeh.firmansyah@garudaku.com</cp:lastModifiedBy>
  <cp:revision>0</cp:revision>
  <dcterms:created xsi:type="dcterms:W3CDTF">2026-04-05T09:34:47Z</dcterms:created>
  <dcterms:modified xsi:type="dcterms:W3CDTF">2026-04-13T09:22:24Z</dcterms:modified>
  <dc:language>en-US</dc:language>
</cp:coreProperties>
</file>