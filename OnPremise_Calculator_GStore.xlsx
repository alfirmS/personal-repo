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ingkasan Eksekutif" sheetId="1" state="visible" r:id="rId3"/>
    <sheet name="2. Compute (Server)" sheetId="2" state="visible" r:id="rId4"/>
    <sheet name="3. Database (RDS)" sheetId="3" state="visible" r:id="rId5"/>
    <sheet name="4. Network &amp; Storage" sheetId="4" state="visible" r:id="rId6"/>
    <sheet name="5. Perhitungan Biaya" sheetId="5" state="visible" r:id="rId7"/>
    <sheet name="6. Roadmap Migrasi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<sst xmlns="http://schemas.openxmlformats.org/spreadsheetml/2006/main" count="619" uniqueCount="467">
  <si>
    <t xml:space="preserve">🖥️  ANALISIS KEBUTUHAN INFRASTRUKTUR ON-PREMISE</t>
  </si>
  <si>
    <t xml:space="preserve">Duplicate dari Huawei Cloud AP-Singapore → Data Center Lokal (Indonesia)</t>
  </si>
  <si>
    <t xml:space="preserve">📋 Sumber Data:</t>
  </si>
  <si>
    <t xml:space="preserve">Huawei Cloud Inventory — GStore AP-Singapore</t>
  </si>
  <si>
    <t xml:space="preserve">🗓️ Tanggal Analisis:</t>
  </si>
  <si>
    <t xml:space="preserve">April 2026</t>
  </si>
  <si>
    <t xml:space="preserve">📍 Target Lokasi:</t>
  </si>
  <si>
    <t xml:space="preserve">Data Center On-Premise (Indonesia)</t>
  </si>
  <si>
    <t xml:space="preserve">⚙️ Asumsi Kurs:</t>
  </si>
  <si>
    <t xml:space="preserve">USD 1 = IDR 16.300</t>
  </si>
  <si>
    <t xml:space="preserve">Kategori</t>
  </si>
  <si>
    <t xml:space="preserve">Cloud Saat Ini</t>
  </si>
  <si>
    <t xml:space="preserve">On-Premise Ekuivalen</t>
  </si>
  <si>
    <t xml:space="preserve">Biaya Cloud/Bln (USD)</t>
  </si>
  <si>
    <t xml:space="preserve">Biaya OnPrem (CapEx USD)</t>
  </si>
  <si>
    <t xml:space="preserve">Biaya OnPrem Ops/Bln (USD)</t>
  </si>
  <si>
    <t xml:space="preserve">ROI Breakeven</t>
  </si>
  <si>
    <t xml:space="preserve">🖥️ Compute (ECS)</t>
  </si>
  <si>
    <t xml:space="preserve">8 Instances
48 vCPU / 128 GB RAM</t>
  </si>
  <si>
    <t xml:space="preserve">4 Server Fisik
(2×Xeon / 128GB RAM each)</t>
  </si>
  <si>
    <t xml:space="preserve">~24 Bln</t>
  </si>
  <si>
    <t xml:space="preserve">🗄️ Database (RDS)</t>
  </si>
  <si>
    <t xml:space="preserve">3 Instance MySQL
40 vCPU / 96 GB RAM</t>
  </si>
  <si>
    <t xml:space="preserve">2 Server DB Dedicated
(Xeon 32C / 128GB)</t>
  </si>
  <si>
    <t xml:space="preserve">💾 Storage (EVS)</t>
  </si>
  <si>
    <t xml:space="preserve">10 Disk = 1.924 GB Total</t>
  </si>
  <si>
    <t xml:space="preserve">4× Enterprise SSD
2TB NVMe each = 8TB</t>
  </si>
  <si>
    <t xml:space="preserve">~18 Bln</t>
  </si>
  <si>
    <t xml:space="preserve">⚖️ Load Balancer (ELB)</t>
  </si>
  <si>
    <t xml:space="preserve">2 LB (1 Dedicated, 1 Shared)</t>
  </si>
  <si>
    <t xml:space="preserve">1× Hardware LB / F5 Virtual</t>
  </si>
  <si>
    <t xml:space="preserve">~30 Bln</t>
  </si>
  <si>
    <t xml:space="preserve">🌐 Network &amp; IP (EIP/VPC)</t>
  </si>
  <si>
    <t xml:space="preserve">12 EIP / 300 Mbps BW</t>
  </si>
  <si>
    <t xml:space="preserve">Dedicated Internet Line 300 Mbps</t>
  </si>
  <si>
    <t xml:space="preserve">~12 Bln</t>
  </si>
  <si>
    <t xml:space="preserve">⚡ Cache (DCS/Redis)</t>
  </si>
  <si>
    <t xml:space="preserve">Redis 6.0 / 1 GB</t>
  </si>
  <si>
    <t xml:space="preserve">1× VM Redis Server</t>
  </si>
  <si>
    <t xml:space="preserve">~36 Bln</t>
  </si>
  <si>
    <t xml:space="preserve">🔐 Security &amp; Others</t>
  </si>
  <si>
    <t xml:space="preserve">VPC, SG, DEW, IMS</t>
  </si>
  <si>
    <t xml:space="preserve">Firewall HW + License SSL</t>
  </si>
  <si>
    <t xml:space="preserve">TOTAL KESELURUHAN</t>
  </si>
  <si>
    <t xml:space="preserve">~24 Bln Avg</t>
  </si>
  <si>
    <t xml:space="preserve">📝 CATATAN PENTING:</t>
  </si>
  <si>
    <t xml:space="preserve">• Biaya Cloud adalah estimasi Pay-per-use Huawei Cloud AP-Singapore (Singapore DC, harga lebih tinggi dari lokal)</t>
  </si>
  <si>
    <t xml:space="preserve">• CapEx On-Premise belum termasuk: biaya rack, PDU, cooling, kabel, instalasi (~+15%)</t>
  </si>
  <si>
    <t xml:space="preserve">• Breakeven dihitung dari: CapEx ÷ (Biaya Cloud Bulanan − Biaya Ops OnPrem Bulanan)</t>
  </si>
  <si>
    <t xml:space="preserve">• Untuk produksi, disarankan High Availability (HA) dengan minimal 2 node per layer</t>
  </si>
  <si>
    <t xml:space="preserve">• Lisensi OS (Ubuntu) gratis, namun perlu budget untuk monitoring tools &amp; backup solution</t>
  </si>
  <si>
    <t xml:space="preserve">🖥️  KEBUTUHAN COMPUTE — SERVER FISIK ON-PREMISE</t>
  </si>
  <si>
    <t xml:space="preserve">Berdasarkan 8 ECS aktif (2 stopped diabaikan) | Asumsi konsolidasi virtualisasi</t>
  </si>
  <si>
    <t xml:space="preserve">A. INVENTARISASI ECS CLOUD (Existing)</t>
  </si>
  <si>
    <t xml:space="preserve">No</t>
  </si>
  <si>
    <t xml:space="preserve">Nama Instance</t>
  </si>
  <si>
    <t xml:space="preserve">Status</t>
  </si>
  <si>
    <t xml:space="preserve">vCPU</t>
  </si>
  <si>
    <t xml:space="preserve">RAM (GB)</t>
  </si>
  <si>
    <t xml:space="preserve">Storage (GB)</t>
  </si>
  <si>
    <t xml:space="preserve">OS</t>
  </si>
  <si>
    <t xml:space="preserve">Role / Fungsi</t>
  </si>
  <si>
    <t xml:space="preserve">AZ</t>
  </si>
  <si>
    <t xml:space="preserve">IP Private</t>
  </si>
  <si>
    <t xml:space="preserve">IP Public</t>
  </si>
  <si>
    <t xml:space="preserve">Keterangan</t>
  </si>
  <si>
    <t xml:space="preserve">as-config-topup-api (AS Active)</t>
  </si>
  <si>
    <t xml:space="preserve">Running</t>
  </si>
  <si>
    <t xml:space="preserve">Ubuntu 18.04</t>
  </si>
  <si>
    <t xml:space="preserve">Autoscaling BE Gstore</t>
  </si>
  <si>
    <t xml:space="preserve">AZ1</t>
  </si>
  <si>
    <t xml:space="preserve">192.168.0.41</t>
  </si>
  <si>
    <t xml:space="preserve">111.119.208.235</t>
  </si>
  <si>
    <t xml:space="preserve">AutoScale aktif</t>
  </si>
  <si>
    <t xml:space="preserve">ecs-master-ssr</t>
  </si>
  <si>
    <t xml:space="preserve">Stopped</t>
  </si>
  <si>
    <t xml:space="preserve">Ubuntu 24.04</t>
  </si>
  <si>
    <t xml:space="preserve">SSR Master (unused)</t>
  </si>
  <si>
    <t xml:space="preserve">192.168.0.58</t>
  </si>
  <si>
    <t xml:space="preserve">111.119.211.78</t>
  </si>
  <si>
    <t xml:space="preserve">Deleted - abaikan</t>
  </si>
  <si>
    <t xml:space="preserve">as-config-topup-api (Stopped)</t>
  </si>
  <si>
    <t xml:space="preserve">AS Backup (unused)</t>
  </si>
  <si>
    <t xml:space="preserve">AZ5</t>
  </si>
  <si>
    <t xml:space="preserve">192.168.0.165</t>
  </si>
  <si>
    <t xml:space="preserve">190.92.198.100</t>
  </si>
  <si>
    <t xml:space="preserve">master-topup-api</t>
  </si>
  <si>
    <t xml:space="preserve">Backend API Master AS</t>
  </si>
  <si>
    <t xml:space="preserve">192.168.0.250</t>
  </si>
  <si>
    <t xml:space="preserve">94.74.88.162</t>
  </si>
  <si>
    <t xml:space="preserve">Primary BE</t>
  </si>
  <si>
    <t xml:space="preserve">Development-Server</t>
  </si>
  <si>
    <t xml:space="preserve">Dev/Staging Server</t>
  </si>
  <si>
    <t xml:space="preserve">192.168.0.33</t>
  </si>
  <si>
    <t xml:space="preserve">111.119.237.39</t>
  </si>
  <si>
    <t xml:space="preserve">Dev &amp; Monitoring</t>
  </si>
  <si>
    <t xml:space="preserve">master-worker-w-scheduler</t>
  </si>
  <si>
    <t xml:space="preserve">Worker + Scheduler</t>
  </si>
  <si>
    <t xml:space="preserve">192.168.0.228</t>
  </si>
  <si>
    <t xml:space="preserve">101.44.162.207</t>
  </si>
  <si>
    <t xml:space="preserve">Queue worker</t>
  </si>
  <si>
    <t xml:space="preserve">WHITELIST-SERVER</t>
  </si>
  <si>
    <t xml:space="preserve">Whitelist Service</t>
  </si>
  <si>
    <t xml:space="preserve">192.168.0.141</t>
  </si>
  <si>
    <t xml:space="preserve">124.243.185.86</t>
  </si>
  <si>
    <t xml:space="preserve">Whitelist</t>
  </si>
  <si>
    <t xml:space="preserve">platform (Garudaku)</t>
  </si>
  <si>
    <t xml:space="preserve">Platform Garudaku</t>
  </si>
  <si>
    <t xml:space="preserve">192.168.0.63</t>
  </si>
  <si>
    <t xml:space="preserve">49.0.201.17</t>
  </si>
  <si>
    <t xml:space="preserve">Platform</t>
  </si>
  <si>
    <t xml:space="preserve">TOTAL AKTIF (6 instance)</t>
  </si>
  <si>
    <t xml:space="preserve">B. SPESIFIKASI SERVER FISIK ON-PREMISE (Rekomendasi)</t>
  </si>
  <si>
    <t xml:space="preserve">Role Server</t>
  </si>
  <si>
    <t xml:space="preserve">Qty</t>
  </si>
  <si>
    <t xml:space="preserve">CPU (Socket×Core)</t>
  </si>
  <si>
    <t xml:space="preserve">vCPU Total (VM)</t>
  </si>
  <si>
    <t xml:space="preserve">Storage OS</t>
  </si>
  <si>
    <t xml:space="preserve">Storage Data</t>
  </si>
  <si>
    <t xml:space="preserve">NIC</t>
  </si>
  <si>
    <t xml:space="preserve">Est. Harga/Unit (USD)</t>
  </si>
  <si>
    <t xml:space="preserve">Total Harga (USD)</t>
  </si>
  <si>
    <t xml:space="preserve">Application Server (Prod)</t>
  </si>
  <si>
    <t xml:space="preserve">2×Intel Xeon Silver 4314 (16C/32T each)</t>
  </si>
  <si>
    <t xml:space="preserve">2×480GB SSD RAID1</t>
  </si>
  <si>
    <t xml:space="preserve">2×1.92TB NVMe</t>
  </si>
  <si>
    <t xml:space="preserve">4×10GbE</t>
  </si>
  <si>
    <t xml:space="preserve">Master-topup, Worker, Whitelist, Platform (HA pair)</t>
  </si>
  <si>
    <t xml:space="preserve">Dev / Staging Server</t>
  </si>
  <si>
    <t xml:space="preserve">2×Intel Xeon Silver 4310 (12C/24T each)</t>
  </si>
  <si>
    <t xml:space="preserve">2×10GbE</t>
  </si>
  <si>
    <t xml:space="preserve">Dev-Server, Monitoring (Grafana, Prometheus)</t>
  </si>
  <si>
    <t xml:space="preserve">Autoscaling (VM Host)</t>
  </si>
  <si>
    <t xml:space="preserve">2×Intel Xeon Gold 6342 (24C/48T each)</t>
  </si>
  <si>
    <t xml:space="preserve">4×1.92TB NVMe</t>
  </si>
  <si>
    <t xml:space="preserve">Host untuk auto-scale VM (max 5 replika)</t>
  </si>
  <si>
    <t xml:space="preserve">Management Server (OOB)</t>
  </si>
  <si>
    <t xml:space="preserve">1×Intel Xeon E-2378 (8C/16T)</t>
  </si>
  <si>
    <t xml:space="preserve">–</t>
  </si>
  <si>
    <t xml:space="preserve">2×1GbE</t>
  </si>
  <si>
    <t xml:space="preserve">Manajemen jaringan, DNS, VPN, Ansible</t>
  </si>
  <si>
    <t xml:space="preserve">TOTAL BELANJA SERVER</t>
  </si>
  <si>
    <t xml:space="preserve">🗄️  KEBUTUHAN DATABASE SERVER ON-PREMISE</t>
  </si>
  <si>
    <t xml:space="preserve">Berdasarkan 3 RDS MySQL 8.0 (2 Read Replica + 1 Primary Multi-AZ)</t>
  </si>
  <si>
    <t xml:space="preserve">A. INVENTARISASI RDS CLOUD</t>
  </si>
  <si>
    <t xml:space="preserve">Nama RDS</t>
  </si>
  <si>
    <t xml:space="preserve">Engine</t>
  </si>
  <si>
    <t xml:space="preserve">Spesifikasi</t>
  </si>
  <si>
    <t xml:space="preserve">Storage Est.</t>
  </si>
  <si>
    <t xml:space="preserve">Mode HA</t>
  </si>
  <si>
    <t xml:space="preserve">IP / Endpoint</t>
  </si>
  <si>
    <t xml:space="preserve">Role</t>
  </si>
  <si>
    <t xml:space="preserve">Billing</t>
  </si>
  <si>
    <t xml:space="preserve">khusus-front-2</t>
  </si>
  <si>
    <t xml:space="preserve">MySQL 8.0</t>
  </si>
  <si>
    <t xml:space="preserve">4 vCPU / 16 GB RAM</t>
  </si>
  <si>
    <t xml:space="preserve">~200 GB</t>
  </si>
  <si>
    <t xml:space="preserve">Single (AZ1)</t>
  </si>
  <si>
    <t xml:space="preserve">192.168.0.20</t>
  </si>
  <si>
    <t xml:space="preserve">Read Replica</t>
  </si>
  <si>
    <t xml:space="preserve">Pay-per-use</t>
  </si>
  <si>
    <t xml:space="preserve">Replica untuk frontend</t>
  </si>
  <si>
    <t xml:space="preserve">khusus-worker</t>
  </si>
  <si>
    <t xml:space="preserve">192.168.0.51 / 124.243.139.45</t>
  </si>
  <si>
    <t xml:space="preserve">Replica untuk worker</t>
  </si>
  <si>
    <t xml:space="preserve">rds-topup</t>
  </si>
  <si>
    <t xml:space="preserve">32 vCPU / 64 GB RAM</t>
  </si>
  <si>
    <t xml:space="preserve">~500 GB</t>
  </si>
  <si>
    <t xml:space="preserve">Multi-AZ (AZ5+AZ1)</t>
  </si>
  <si>
    <t xml:space="preserve">192.168.0.113 / 124.243.145.55</t>
  </si>
  <si>
    <t xml:space="preserve">Primary DB</t>
  </si>
  <si>
    <t xml:space="preserve">DB utama, HA aktif</t>
  </si>
  <si>
    <t xml:space="preserve">B. SPESIFIKASI DATABASE SERVER ON-PREMISE</t>
  </si>
  <si>
    <t xml:space="preserve">CPU Spec</t>
  </si>
  <si>
    <t xml:space="preserve">Storage Primary</t>
  </si>
  <si>
    <t xml:space="preserve">Storage Replica</t>
  </si>
  <si>
    <t xml:space="preserve">RAID</t>
  </si>
  <si>
    <t xml:space="preserve">Total (USD)</t>
  </si>
  <si>
    <t xml:space="preserve">DB Server Primary (rds-topup replica)</t>
  </si>
  <si>
    <t xml:space="preserve">2×AMD EPYC 7763 (64C/128T each) — 128C total</t>
  </si>
  <si>
    <t xml:space="preserve">4×3.84TB NVMe SSD</t>
  </si>
  <si>
    <t xml:space="preserve">2×3.84TB NVMe Hot-standby</t>
  </si>
  <si>
    <t xml:space="preserve">RAID10</t>
  </si>
  <si>
    <t xml:space="preserve">DB Server Replica (front + worker)</t>
  </si>
  <si>
    <t xml:space="preserve">2×Intel Xeon Gold 6342 (24C each)</t>
  </si>
  <si>
    <t xml:space="preserve">4×1.92TB NVMe SSD</t>
  </si>
  <si>
    <t xml:space="preserve">DB Backup Server (cold)</t>
  </si>
  <si>
    <t xml:space="preserve">1×Intel Xeon Silver 4310 (12C)</t>
  </si>
  <si>
    <t xml:space="preserve">8×4TB HDD</t>
  </si>
  <si>
    <t xml:space="preserve">RAID6</t>
  </si>
  <si>
    <t xml:space="preserve">TOTAL BELANJA DATABASE SERVER</t>
  </si>
  <si>
    <t xml:space="preserve">🌐  KEBUTUHAN JARINGAN &amp; STORAGE ON-PREMISE</t>
  </si>
  <si>
    <t xml:space="preserve">ELB, EIP, VPC, EVS → Switch, Firewall, NAS, Internet Line</t>
  </si>
  <si>
    <t xml:space="preserve">A. INVENTARISASI STORAGE CLOUD (EVS)</t>
  </si>
  <si>
    <t xml:space="preserve">Volume Name</t>
  </si>
  <si>
    <t xml:space="preserve">Type</t>
  </si>
  <si>
    <t xml:space="preserve">Size (GB)</t>
  </si>
  <si>
    <t xml:space="preserve">Attached To</t>
  </si>
  <si>
    <t xml:space="preserve">Est. Harga Cloud/Bln (USD)</t>
  </si>
  <si>
    <t xml:space="preserve">as-config-topup-api_20260313</t>
  </si>
  <si>
    <t xml:space="preserve">High I/O</t>
  </si>
  <si>
    <t xml:space="preserve">In-use</t>
  </si>
  <si>
    <t xml:space="preserve">AS Instance (Active)</t>
  </si>
  <si>
    <t xml:space="preserve">Boot OS</t>
  </si>
  <si>
    <t xml:space="preserve">GP SSD</t>
  </si>
  <si>
    <t xml:space="preserve">Boot OS (stopped)</t>
  </si>
  <si>
    <t xml:space="preserve">as-config-topup-api_20251002</t>
  </si>
  <si>
    <t xml:space="preserve">AS Instance (Stopped)</t>
  </si>
  <si>
    <t xml:space="preserve">as-config-topup-api_20250121</t>
  </si>
  <si>
    <t xml:space="preserve">Data + Dev</t>
  </si>
  <si>
    <t xml:space="preserve">as-config-worker-store</t>
  </si>
  <si>
    <t xml:space="preserve">master-worker</t>
  </si>
  <si>
    <t xml:space="preserve">platform</t>
  </si>
  <si>
    <t xml:space="preserve">rds-topup (estimated)</t>
  </si>
  <si>
    <t xml:space="preserve">RDS Primary</t>
  </si>
  <si>
    <t xml:space="preserve">AZ1/5</t>
  </si>
  <si>
    <t xml:space="preserve">DB Primary</t>
  </si>
  <si>
    <t xml:space="preserve">rds-replica ×2 (estimated)</t>
  </si>
  <si>
    <t xml:space="preserve">RDS Replica</t>
  </si>
  <si>
    <t xml:space="preserve">DB Replica</t>
  </si>
  <si>
    <t xml:space="preserve">TOTAL STORAGE &amp; MONTHLY COST</t>
  </si>
  <si>
    <t xml:space="preserve">B. SPESIFIKASI STORAGE ON-PREMISE</t>
  </si>
  <si>
    <t xml:space="preserve">Komponen</t>
  </si>
  <si>
    <t xml:space="preserve">Kapasitas Total</t>
  </si>
  <si>
    <t xml:space="preserve">Peruntukan</t>
  </si>
  <si>
    <t xml:space="preserve">Harga/Unit (USD)</t>
  </si>
  <si>
    <t xml:space="preserve">NVMe SSD Enterprise (DB)</t>
  </si>
  <si>
    <t xml:space="preserve">Samsung PM9A3 3.84TB U.2 NVMe</t>
  </si>
  <si>
    <t xml:space="preserve">30.7 TB Raw</t>
  </si>
  <si>
    <t xml:space="preserve">RAID10 (15.3 TB Usable)</t>
  </si>
  <si>
    <t xml:space="preserve">Database Primary + Replica</t>
  </si>
  <si>
    <t xml:space="preserve">SSD Enterprise (App/OS)</t>
  </si>
  <si>
    <t xml:space="preserve">Samsung SM883 960GB SATA SSD</t>
  </si>
  <si>
    <t xml:space="preserve">15.4 TB Raw</t>
  </si>
  <si>
    <t xml:space="preserve">RAID1 pairs (7.7 TB Usable)</t>
  </si>
  <si>
    <t xml:space="preserve">OS Boot + App Data</t>
  </si>
  <si>
    <t xml:space="preserve">NAS Storage (Backup+Dev)</t>
  </si>
  <si>
    <t xml:space="preserve">Synology RS3621RPxs 12-Bay</t>
  </si>
  <si>
    <t xml:space="preserve">48 TB Raw (12×4TB)</t>
  </si>
  <si>
    <t xml:space="preserve">RAID6 (~36 TB Usable)</t>
  </si>
  <si>
    <t xml:space="preserve">Backup + Dev storage</t>
  </si>
  <si>
    <t xml:space="preserve">HDD 4TB Enterprise</t>
  </si>
  <si>
    <t xml:space="preserve">Seagate Exos 4TB SATA</t>
  </si>
  <si>
    <t xml:space="preserve">48 TB</t>
  </si>
  <si>
    <t xml:space="preserve">Untuk NAS di atas</t>
  </si>
  <si>
    <t xml:space="preserve">Backup storage</t>
  </si>
  <si>
    <t xml:space="preserve">SAN Switch</t>
  </si>
  <si>
    <t xml:space="preserve">Brocade G620 / 32Gbps FC</t>
  </si>
  <si>
    <t xml:space="preserve">Dual-path redundant</t>
  </si>
  <si>
    <t xml:space="preserve">Koneksi server ↔ storage</t>
  </si>
  <si>
    <t xml:space="preserve">TOTAL BELANJA STORAGE</t>
  </si>
  <si>
    <t xml:space="preserve">C. SPESIFIKASI JARINGAN ON-PREMISE (Pengganti ELB + EIP + VPC)</t>
  </si>
  <si>
    <t xml:space="preserve">Fungsi</t>
  </si>
  <si>
    <t xml:space="preserve">Cloud Equivalent</t>
  </si>
  <si>
    <t xml:space="preserve">Est. Biaya/Bln (USD)</t>
  </si>
  <si>
    <t xml:space="preserve">Total CapEx (USD)</t>
  </si>
  <si>
    <t xml:space="preserve">Core Switch L3</t>
  </si>
  <si>
    <t xml:space="preserve">Cisco Catalyst 9300-48P 10GbE</t>
  </si>
  <si>
    <t xml:space="preserve">Backbone LAN + VLAN</t>
  </si>
  <si>
    <t xml:space="preserve">VPC</t>
  </si>
  <si>
    <t xml:space="preserve">Access Switch L2</t>
  </si>
  <si>
    <t xml:space="preserve">Cisco Catalyst 9200-24P 1GbE</t>
  </si>
  <si>
    <t xml:space="preserve">Server access switch</t>
  </si>
  <si>
    <t xml:space="preserve">VPC Subnet</t>
  </si>
  <si>
    <t xml:space="preserve">Firewall (UTM)</t>
  </si>
  <si>
    <t xml:space="preserve">Fortinet FortiGate 200F</t>
  </si>
  <si>
    <t xml:space="preserve">Security perimeter + NAT</t>
  </si>
  <si>
    <t xml:space="preserve">VPC Security Group + EIP</t>
  </si>
  <si>
    <t xml:space="preserve">Load Balancer HW</t>
  </si>
  <si>
    <t xml:space="preserve">F5 BIG-IP 2000s / HAProxy VM</t>
  </si>
  <si>
    <t xml:space="preserve">L7 LB, SSL termination</t>
  </si>
  <si>
    <t xml:space="preserve">ELB Dedicated</t>
  </si>
  <si>
    <t xml:space="preserve">Internet Leased Line</t>
  </si>
  <si>
    <t xml:space="preserve">Dedicated 300 Mbps (ISP lokal)</t>
  </si>
  <si>
    <t xml:space="preserve">Primary + Backup link</t>
  </si>
  <si>
    <t xml:space="preserve">EIP 12×300Mbps BW</t>
  </si>
  <si>
    <t xml:space="preserve">IP Public (dari ISP)</t>
  </si>
  <si>
    <t xml:space="preserve">/29 block (8 IP usable)</t>
  </si>
  <si>
    <t xml:space="preserve">IP publik statik</t>
  </si>
  <si>
    <t xml:space="preserve">EIP 12 addresses</t>
  </si>
  <si>
    <t xml:space="preserve">VPN Gateway (IPSec)</t>
  </si>
  <si>
    <t xml:space="preserve">Fortinet VPN / Cisco ASA</t>
  </si>
  <si>
    <t xml:space="preserve">Site-to-Site / Remote akses</t>
  </si>
  <si>
    <t xml:space="preserve">VPN di VPC</t>
  </si>
  <si>
    <t xml:space="preserve">TOTAL JARINGAN</t>
  </si>
  <si>
    <t xml:space="preserve">💰  PERHITUNGAN BIAYA LENGKAP: CLOUD vs ON-PREMISE</t>
  </si>
  <si>
    <t xml:space="preserve">Asumsi: USD 1 = IDR 16.300 | Masa analisis: 3 tahun (36 bulan)</t>
  </si>
  <si>
    <t xml:space="preserve">A. ESTIMASI BIAYA CLOUD HUAWEI (Per Bulan)</t>
  </si>
  <si>
    <t xml:space="preserve">Layanan</t>
  </si>
  <si>
    <t xml:space="preserve">Jumlah</t>
  </si>
  <si>
    <t xml:space="preserve">Satuan</t>
  </si>
  <si>
    <t xml:space="preserve">Harga Satuan/Bln (USD)</t>
  </si>
  <si>
    <t xml:space="preserve">Total/Bln (USD)</t>
  </si>
  <si>
    <t xml:space="preserve">ECS - 4vCPU 16GB (c3.xlarge)</t>
  </si>
  <si>
    <t xml:space="preserve">Instance</t>
  </si>
  <si>
    <t xml:space="preserve">4 active instances</t>
  </si>
  <si>
    <t xml:space="preserve">ECS - 8vCPU 32GB (c3.2xlarge)</t>
  </si>
  <si>
    <t xml:space="preserve">Dev server</t>
  </si>
  <si>
    <t xml:space="preserve">ECS - 4vCPU 8GB (c3.large)</t>
  </si>
  <si>
    <t xml:space="preserve">Worker server</t>
  </si>
  <si>
    <t xml:space="preserve">ECS - 2vCPU 8GB (c3.medium)</t>
  </si>
  <si>
    <t xml:space="preserve">Platform server</t>
  </si>
  <si>
    <t xml:space="preserve">RDS MySQL 8.0 - 4vCPU 16GB ×2</t>
  </si>
  <si>
    <t xml:space="preserve">Read replicas</t>
  </si>
  <si>
    <t xml:space="preserve">RDS MySQL 8.0 - 32vCPU 64GB (HA)</t>
  </si>
  <si>
    <t xml:space="preserve">Primary Multi-AZ</t>
  </si>
  <si>
    <t xml:space="preserve">EVS High I/O (400 GB aktif)</t>
  </si>
  <si>
    <t xml:space="preserve">GB</t>
  </si>
  <si>
    <t xml:space="preserve">High I/O blocks</t>
  </si>
  <si>
    <t xml:space="preserve">EVS GP SSD (1324 GB aktif)</t>
  </si>
  <si>
    <t xml:space="preserve">General Purpose SSD</t>
  </si>
  <si>
    <t xml:space="preserve">EIP Bandwidth 300Mbps ×12</t>
  </si>
  <si>
    <t xml:space="preserve">EIP</t>
  </si>
  <si>
    <t xml:space="preserve">Pay-per-use bandwidth</t>
  </si>
  <si>
    <t xml:space="preserve">Database LB</t>
  </si>
  <si>
    <t xml:space="preserve">ELB Shared</t>
  </si>
  <si>
    <t xml:space="preserve">API LB</t>
  </si>
  <si>
    <t xml:space="preserve">DCS Redis 1GB</t>
  </si>
  <si>
    <t xml:space="preserve">Cache service</t>
  </si>
  <si>
    <t xml:space="preserve">DEW (KMS)</t>
  </si>
  <si>
    <t xml:space="preserve">Key/Bln</t>
  </si>
  <si>
    <t xml:space="preserve">Encryption key</t>
  </si>
  <si>
    <t xml:space="preserve">IMS Snapshot (23 images)</t>
  </si>
  <si>
    <t xml:space="preserve">Image</t>
  </si>
  <si>
    <t xml:space="preserve">Machine images storage</t>
  </si>
  <si>
    <t xml:space="preserve">Auto Scaling (AS Group)</t>
  </si>
  <si>
    <t xml:space="preserve">Group</t>
  </si>
  <si>
    <t xml:space="preserve">Gratis, bayar per instance</t>
  </si>
  <si>
    <t xml:space="preserve">TOTAL BIAYA CLOUD / BULAN</t>
  </si>
  <si>
    <t xml:space="preserve">Per Tahun (USD):</t>
  </si>
  <si>
    <t xml:space="preserve">dalam IDR :</t>
  </si>
  <si>
    <t xml:space="preserve">B. RINCIAN CapEx ON-PREMISE (Investasi Awal)</t>
  </si>
  <si>
    <t xml:space="preserve">Item</t>
  </si>
  <si>
    <t xml:space="preserve">Harga Satuan (USD)</t>
  </si>
  <si>
    <t xml:space="preserve">Compute</t>
  </si>
  <si>
    <t xml:space="preserve">App Server 2×Xeon Silver 4314, 128GB RAM</t>
  </si>
  <si>
    <t xml:space="preserve">HA Pair Production</t>
  </si>
  <si>
    <t xml:space="preserve">Dev/Staging Server 2×Xeon Silver 4310, 64GB</t>
  </si>
  <si>
    <t xml:space="preserve">Dev + Monitoring</t>
  </si>
  <si>
    <t xml:space="preserve">Autoscale Host 2×Xeon Gold 6342, 256GB</t>
  </si>
  <si>
    <t xml:space="preserve">VM Host untuk AS</t>
  </si>
  <si>
    <t xml:space="preserve">Management Server Xeon E-2378, 32GB</t>
  </si>
  <si>
    <t xml:space="preserve">OOB Management</t>
  </si>
  <si>
    <t xml:space="preserve">Database</t>
  </si>
  <si>
    <t xml:space="preserve">DB Primary 2×AMD EPYC 7763, 256GB</t>
  </si>
  <si>
    <t xml:space="preserve">Primary DB Server</t>
  </si>
  <si>
    <t xml:space="preserve">DB Replica 2×Xeon Gold 6342, 128GB</t>
  </si>
  <si>
    <t xml:space="preserve">Replica Server</t>
  </si>
  <si>
    <t xml:space="preserve">DB Backup Server Xeon Silver 4310, 64GB</t>
  </si>
  <si>
    <t xml:space="preserve">Cold backup</t>
  </si>
  <si>
    <t xml:space="preserve">Storage</t>
  </si>
  <si>
    <t xml:space="preserve">NVMe SSD 3.84TB Enterprise ×8</t>
  </si>
  <si>
    <t xml:space="preserve">DB Storage</t>
  </si>
  <si>
    <t xml:space="preserve">SSD 960GB SATA Enterprise ×16</t>
  </si>
  <si>
    <t xml:space="preserve">OS + App</t>
  </si>
  <si>
    <t xml:space="preserve">NAS Synology RS3621RPxs</t>
  </si>
  <si>
    <t xml:space="preserve">Backup + Dev</t>
  </si>
  <si>
    <t xml:space="preserve">HDD 4TB Enterprise ×12</t>
  </si>
  <si>
    <t xml:space="preserve">Isi NAS</t>
  </si>
  <si>
    <t xml:space="preserve">SAN Switch FC 32Gbps ×2</t>
  </si>
  <si>
    <t xml:space="preserve">SAN Connectivity</t>
  </si>
  <si>
    <t xml:space="preserve">Network</t>
  </si>
  <si>
    <t xml:space="preserve">Core Switch L3 Cisco Cat9300 ×2</t>
  </si>
  <si>
    <t xml:space="preserve">LAN Backbone</t>
  </si>
  <si>
    <t xml:space="preserve">Access Switch L2 Cisco Cat9200 ×2</t>
  </si>
  <si>
    <t xml:space="preserve">Server access</t>
  </si>
  <si>
    <t xml:space="preserve">Firewall UTM FortiGate 200F ×2</t>
  </si>
  <si>
    <t xml:space="preserve">Perimeter Security</t>
  </si>
  <si>
    <t xml:space="preserve">Load Balancer F5 BIG-IP 2000s ×2</t>
  </si>
  <si>
    <t xml:space="preserve">L7 LB HA Pair</t>
  </si>
  <si>
    <t xml:space="preserve">VPN Gateway FortiGate</t>
  </si>
  <si>
    <t xml:space="preserve">Site-to-Site VPN</t>
  </si>
  <si>
    <t xml:space="preserve">IP Public Block /29 (ISP)</t>
  </si>
  <si>
    <t xml:space="preserve">8 usable IP</t>
  </si>
  <si>
    <t xml:space="preserve">Infra DC</t>
  </si>
  <si>
    <t xml:space="preserve">Rack 42U Server Rack ×3</t>
  </si>
  <si>
    <t xml:space="preserve">Physical racks</t>
  </si>
  <si>
    <t xml:space="preserve">UPS 10KVA ×2</t>
  </si>
  <si>
    <t xml:space="preserve">Power redundancy</t>
  </si>
  <si>
    <t xml:space="preserve">PDU Rack ×6</t>
  </si>
  <si>
    <t xml:space="preserve">Power Distribution</t>
  </si>
  <si>
    <t xml:space="preserve">KVM Over IP Switch</t>
  </si>
  <si>
    <t xml:space="preserve">Remote console</t>
  </si>
  <si>
    <t xml:space="preserve">Software</t>
  </si>
  <si>
    <t xml:space="preserve">Proxmox VE (Virtualisasi) - Community</t>
  </si>
  <si>
    <t xml:space="preserve">Gratis open source</t>
  </si>
  <si>
    <t xml:space="preserve">Ubuntu LTS - OS</t>
  </si>
  <si>
    <t xml:space="preserve">Zabbix / Grafana Monitoring</t>
  </si>
  <si>
    <t xml:space="preserve">Open source</t>
  </si>
  <si>
    <t xml:space="preserve">Backup Software (Veeam/BorgBackup)</t>
  </si>
  <si>
    <t xml:space="preserve">Veeam Community / Borg</t>
  </si>
  <si>
    <t xml:space="preserve">Jasa</t>
  </si>
  <si>
    <t xml:space="preserve">Instalasi &amp; Konfigurasi Awal</t>
  </si>
  <si>
    <t xml:space="preserve">System integrator</t>
  </si>
  <si>
    <t xml:space="preserve">Migrasi Data dari Cloud</t>
  </si>
  <si>
    <t xml:space="preserve">Data migration project</t>
  </si>
  <si>
    <t xml:space="preserve">TOTAL CAPEX ON-PREMISE</t>
  </si>
  <si>
    <t xml:space="preserve">C. BIAYA OPERASIONAL (OpEx) ON-PREMISE PER BULAN</t>
  </si>
  <si>
    <t xml:space="preserve">Item OpEx</t>
  </si>
  <si>
    <t xml:space="preserve">Biaya/Bln (USD)</t>
  </si>
  <si>
    <t xml:space="preserve">Internet Leased Line 300 Mbps (Primary)</t>
  </si>
  <si>
    <t xml:space="preserve">ISP Tier-1, SLA 99.9%</t>
  </si>
  <si>
    <t xml:space="preserve">Bln</t>
  </si>
  <si>
    <t xml:space="preserve">Internet Leased Line 100 Mbps (Backup)</t>
  </si>
  <si>
    <t xml:space="preserve">ISP berbeda, failover</t>
  </si>
  <si>
    <t xml:space="preserve">Listrik Server + Cooling</t>
  </si>
  <si>
    <t xml:space="preserve">Est. 15 server × 200W + cooling</t>
  </si>
  <si>
    <t xml:space="preserve">IT Admin / System Engineer</t>
  </si>
  <si>
    <t xml:space="preserve">1 orang dedicated sysadmin</t>
  </si>
  <si>
    <t xml:space="preserve">Orang</t>
  </si>
  <si>
    <t xml:space="preserve">Maintenance Kontrak HW (AMC)</t>
  </si>
  <si>
    <t xml:space="preserve">5% dari CapEx / 12 bulan</t>
  </si>
  <si>
    <t xml:space="preserve">Backup Software Subscription</t>
  </si>
  <si>
    <t xml:space="preserve">Lisensi / support</t>
  </si>
  <si>
    <t xml:space="preserve">Monitoring &amp; Alerting Tools</t>
  </si>
  <si>
    <t xml:space="preserve">Grafana Cloud / Zabbix Pro</t>
  </si>
  <si>
    <t xml:space="preserve">SSL Wildcard Certificate</t>
  </si>
  <si>
    <t xml:space="preserve">*.garudaku.com renewal</t>
  </si>
  <si>
    <t xml:space="preserve">Kolokasi / Sewa Ruang DC (opsional)</t>
  </si>
  <si>
    <t xml:space="preserve">Jika tidak punya ruang server sendiri</t>
  </si>
  <si>
    <t xml:space="preserve">TOTAL OPEX / BULAN</t>
  </si>
  <si>
    <t xml:space="preserve">D. ANALISIS BREAKEVEN (Titik Impas)</t>
  </si>
  <si>
    <t xml:space="preserve">Biaya Cloud / Bulan (USD)</t>
  </si>
  <si>
    <t xml:space="preserve">OpEx On-Premise / Bulan (USD)</t>
  </si>
  <si>
    <t xml:space="preserve">Penghematan Bulanan (USD)</t>
  </si>
  <si>
    <t xml:space="preserve">Selisih biaya operasional</t>
  </si>
  <si>
    <t xml:space="preserve">Total CapEx On-Premise (USD)</t>
  </si>
  <si>
    <t xml:space="preserve">Breakeven (Bulan)</t>
  </si>
  <si>
    <t xml:space="preserve">Titik balik modal</t>
  </si>
  <si>
    <t xml:space="preserve">Breakeven (Tahun)</t>
  </si>
  <si>
    <t xml:space="preserve">Penghematan 3 Tahun (USD)</t>
  </si>
  <si>
    <t xml:space="preserve">36 bulan - CapEx</t>
  </si>
  <si>
    <t xml:space="preserve">🗓️  ROADMAP MIGRASI CLOUD → ON-PREMISE</t>
  </si>
  <si>
    <t xml:space="preserve">Estimasi timeline 6 bulan | Pendekatan lift-and-shift bertahap</t>
  </si>
  <si>
    <t xml:space="preserve">FASE 1 (Minggu 1–2): ASSESSMENT &amp; DESIGN</t>
  </si>
  <si>
    <t xml:space="preserve">✅ Audit lengkap beban kerja, dependensi service, dan traffic pattern</t>
  </si>
  <si>
    <t xml:space="preserve">✅ Desain topologi jaringan on-premise (LAN, VLAN, DMZ, HA)</t>
  </si>
  <si>
    <t xml:space="preserve">✅ Tentukan spesifikasi server final berdasarkan peak load</t>
  </si>
  <si>
    <t xml:space="preserve">✅ Siapkan RFQ / tender pengadaan hardware ke vendor</t>
  </si>
  <si>
    <t xml:space="preserve">✅ Review SLA, RPO, dan RTO yang dibutuhkan</t>
  </si>
  <si>
    <t xml:space="preserve">FASE 2 (Minggu 3–6): PENGADAAN &amp; INSTALASI</t>
  </si>
  <si>
    <t xml:space="preserve">🛒 Order hardware: server, storage, network (lead time ~3–4 minggu)</t>
  </si>
  <si>
    <t xml:space="preserve">🔧 Persiapan ruang server: rack, PDU, cooling, kabel struktural</t>
  </si>
  <si>
    <t xml:space="preserve">⚡ Instalasi daya (UPS, grounding), cek kapasitas listrik</t>
  </si>
  <si>
    <t xml:space="preserve">🔌 Instalasi switch, firewall, load balancer</t>
  </si>
  <si>
    <t xml:space="preserve">🖥️  Burn-in testing semua hardware sebelum konfigurasi</t>
  </si>
  <si>
    <t xml:space="preserve">FASE 3 (Minggu 7–10): SETUP &amp; KONFIGURASI</t>
  </si>
  <si>
    <t xml:space="preserve">🐧 Install OS Ubuntu LTS + Proxmox VE di semua server</t>
  </si>
  <si>
    <t xml:space="preserve">🗄️  Setup MySQL 8.0 Primary-Replica cluster (replikasi dari cloud)</t>
  </si>
  <si>
    <t xml:space="preserve">🌐 Konfigurasi VLAN, routing, firewall rules, NAT</t>
  </si>
  <si>
    <t xml:space="preserve">⚖️  Setup Load Balancer (HAProxy/F5) + SSL termination</t>
  </si>
  <si>
    <t xml:space="preserve">📦 Deploy Redis cache (Docker Compose / systemd)</t>
  </si>
  <si>
    <t xml:space="preserve">🔐 Setup VPN site-to-site ke Huawei Cloud (untuk periode dual-run)</t>
  </si>
  <si>
    <t xml:space="preserve">FASE 4 (Minggu 11–14): MIGRASI DATA &amp; TESTING</t>
  </si>
  <si>
    <t xml:space="preserve">📤 Live replication database dari RDS cloud → DB on-premise</t>
  </si>
  <si>
    <t xml:space="preserve">🚀 Deploy seluruh aplikasi (Lumen, Node.js, Docker services)</t>
  </si>
  <si>
    <t xml:space="preserve">🔄 Setup CI/CD pipeline ke server on-premise</t>
  </si>
  <si>
    <t xml:space="preserve">🧪 UAT (User Acceptance Testing) di semua environment</t>
  </si>
  <si>
    <t xml:space="preserve">📊 Load testing: simulasi 1000+ concurrent user</t>
  </si>
  <si>
    <t xml:space="preserve">🔁 Uji failover: matikan node primary, pastikan secondary aktif otomatis</t>
  </si>
  <si>
    <t xml:space="preserve">FASE 5 (Minggu 15–20): CUTOVER &amp; STABILISASI</t>
  </si>
  <si>
    <t xml:space="preserve">🔀 Cutover DNS bertahap (canary: 10% → 50% → 100% traffic)</t>
  </si>
  <si>
    <t xml:space="preserve">👁️  Monitor intensif 24/7 selama 2 minggu pasca cutover</t>
  </si>
  <si>
    <t xml:space="preserve">⏪ Rollback plan siap: VPN ke cloud tetap aktif 30 hari setelah cutover</t>
  </si>
  <si>
    <t xml:space="preserve">📉 Matikan instance cloud satu per satu setelah validasi</t>
  </si>
  <si>
    <t xml:space="preserve">📋 Dokumentasi final: runbook, arsitektur diagram, SOP operasional</t>
  </si>
  <si>
    <t xml:space="preserve">🎓 Training tim ops untuk operasional infrastruktur on-premise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</si>
</sst>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General"/>
    <numFmt numFmtId="167" formatCode="#,##0.00"/>
    <numFmt numFmtId="168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9"/>
      <color rgb="FF555555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1"/>
      <color rgb="FF2980B9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D40"/>
        <bgColor rgb="FF333333"/>
      </patternFill>
    </fill>
    <fill>
      <patternFill patternType="solid">
        <fgColor rgb="FFFFFFFF"/>
        <bgColor rgb="FFEAF2FB"/>
      </patternFill>
    </fill>
    <fill>
      <patternFill patternType="solid">
        <fgColor rgb="FFEAF2FB"/>
        <bgColor rgb="FFFFFFFF"/>
      </patternFill>
    </fill>
    <fill>
      <patternFill patternType="solid">
        <fgColor rgb="FF1B4F72"/>
        <bgColor rgb="FF2E4057"/>
      </patternFill>
    </fill>
    <fill>
      <patternFill patternType="solid">
        <fgColor rgb="FFFFF3CD"/>
        <bgColor rgb="FFFFFFFF"/>
      </patternFill>
    </fill>
    <fill>
      <patternFill patternType="solid">
        <fgColor rgb="FF2E4057"/>
        <bgColor rgb="FF333333"/>
      </patternFill>
    </fill>
    <fill>
      <patternFill patternType="solid">
        <fgColor rgb="FFF8D7DA"/>
        <bgColor rgb="FFFFF3CD"/>
      </patternFill>
    </fill>
    <fill>
      <patternFill patternType="solid">
        <fgColor rgb="FFD6E4F0"/>
        <bgColor rgb="FFEAF2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F2D40"/>
      </left>
      <right style="medium">
        <color rgb="FF1F2D40"/>
      </right>
      <top style="medium">
        <color rgb="FF1F2D40"/>
      </top>
      <bottom style="medium">
        <color rgb="FF1F2D40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CCCCC"/>
      <rgbColor rgb="FF888888"/>
      <rgbColor rgb="FF9999FF"/>
      <rgbColor rgb="FF993366"/>
      <rgbColor rgb="FFFFF3CD"/>
      <rgbColor rgb="FFEAF2FB"/>
      <rgbColor rgb="FF660066"/>
      <rgbColor rgb="FFFF8080"/>
      <rgbColor rgb="FF1B4F72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F2D40"/>
      <rgbColor rgb="FF339966"/>
      <rgbColor rgb="FF003300"/>
      <rgbColor rgb="FF333300"/>
      <rgbColor rgb="FF993300"/>
      <rgbColor rgb="FF993366"/>
      <rgbColor rgb="FF2E405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6" min="5" style="1" width="22"/>
    <col collapsed="false" customWidth="true" hidden="false" outlineLevel="0" max="7" min="7" style="1" width="1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true" outlineLevel="0" collapsed="false">
      <c r="A3" s="4" t="s">
        <v>2</v>
      </c>
      <c r="B3" s="4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customFormat="false" ht="15" hidden="false" customHeight="true" outlineLevel="0" collapsed="false">
      <c r="A4" s="4" t="s">
        <v>4</v>
      </c>
      <c r="B4" s="4"/>
      <c r="C4" s="5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true" outlineLevel="0" collapsed="false">
      <c r="A5" s="4" t="s">
        <v>6</v>
      </c>
      <c r="B5" s="4"/>
      <c r="C5" s="5" t="s">
        <v>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true" outlineLevel="0" collapsed="false">
      <c r="A6" s="4" t="s">
        <v>8</v>
      </c>
      <c r="B6" s="4"/>
      <c r="C6" s="5" t="s">
        <v>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8" customFormat="false" ht="30" hidden="false" customHeight="true" outlineLevel="0" collapsed="false">
      <c r="A8" s="6" t="s">
        <v>10</v>
      </c>
      <c r="B8" s="6" t="s">
        <v>11</v>
      </c>
      <c r="C8" s="6" t="s">
        <v>12</v>
      </c>
      <c r="D8" s="6" t="s">
        <v>13</v>
      </c>
      <c r="E8" s="6" t="s">
        <v>14</v>
      </c>
      <c r="F8" s="6" t="s">
        <v>15</v>
      </c>
      <c r="G8" s="6" t="s">
        <v>16</v>
      </c>
    </row>
    <row r="9" customFormat="false" ht="21.75" hidden="false" customHeight="true" outlineLevel="0" collapsed="false">
      <c r="A9" s="7" t="s">
        <v>17</v>
      </c>
      <c r="B9" s="8" t="s">
        <v>18</v>
      </c>
      <c r="C9" s="8" t="s">
        <v>19</v>
      </c>
      <c r="D9" s="9" t="n">
        <v>1920</v>
      </c>
      <c r="E9" s="9" t="n">
        <v>120000</v>
      </c>
      <c r="F9" s="9" t="n">
        <v>480</v>
      </c>
      <c r="G9" s="8" t="s">
        <v>20</v>
      </c>
    </row>
    <row r="10" customFormat="false" ht="21.75" hidden="false" customHeight="true" outlineLevel="0" collapsed="false">
      <c r="A10" s="10" t="s">
        <v>21</v>
      </c>
      <c r="B10" s="11" t="s">
        <v>22</v>
      </c>
      <c r="C10" s="11" t="s">
        <v>23</v>
      </c>
      <c r="D10" s="12" t="n">
        <v>2400</v>
      </c>
      <c r="E10" s="12" t="n">
        <v>80000</v>
      </c>
      <c r="F10" s="12" t="n">
        <v>320</v>
      </c>
      <c r="G10" s="11" t="s">
        <v>20</v>
      </c>
    </row>
    <row r="11" customFormat="false" ht="21.75" hidden="false" customHeight="true" outlineLevel="0" collapsed="false">
      <c r="A11" s="7" t="s">
        <v>24</v>
      </c>
      <c r="B11" s="8" t="s">
        <v>25</v>
      </c>
      <c r="C11" s="8" t="s">
        <v>26</v>
      </c>
      <c r="D11" s="9" t="n">
        <v>190</v>
      </c>
      <c r="E11" s="9" t="n">
        <v>12000</v>
      </c>
      <c r="F11" s="9" t="n">
        <v>40</v>
      </c>
      <c r="G11" s="8" t="s">
        <v>27</v>
      </c>
    </row>
    <row r="12" customFormat="false" ht="21.75" hidden="false" customHeight="true" outlineLevel="0" collapsed="false">
      <c r="A12" s="10" t="s">
        <v>28</v>
      </c>
      <c r="B12" s="11" t="s">
        <v>29</v>
      </c>
      <c r="C12" s="11" t="s">
        <v>30</v>
      </c>
      <c r="D12" s="12" t="n">
        <v>120</v>
      </c>
      <c r="E12" s="12" t="n">
        <v>15000</v>
      </c>
      <c r="F12" s="12" t="n">
        <v>80</v>
      </c>
      <c r="G12" s="11" t="s">
        <v>31</v>
      </c>
    </row>
    <row r="13" customFormat="false" ht="15" hidden="false" customHeight="true" outlineLevel="0" collapsed="false">
      <c r="A13" s="7" t="s">
        <v>32</v>
      </c>
      <c r="B13" s="8" t="s">
        <v>33</v>
      </c>
      <c r="C13" s="8" t="s">
        <v>34</v>
      </c>
      <c r="D13" s="9" t="n">
        <v>600</v>
      </c>
      <c r="E13" s="9" t="n">
        <v>8000</v>
      </c>
      <c r="F13" s="9" t="n">
        <v>500</v>
      </c>
      <c r="G13" s="8" t="s">
        <v>35</v>
      </c>
    </row>
    <row r="14" customFormat="false" ht="15" hidden="false" customHeight="true" outlineLevel="0" collapsed="false">
      <c r="A14" s="10" t="s">
        <v>36</v>
      </c>
      <c r="B14" s="11" t="s">
        <v>37</v>
      </c>
      <c r="C14" s="11" t="s">
        <v>38</v>
      </c>
      <c r="D14" s="12" t="n">
        <v>40</v>
      </c>
      <c r="E14" s="12" t="n">
        <v>2000</v>
      </c>
      <c r="F14" s="12" t="n">
        <v>20</v>
      </c>
      <c r="G14" s="11" t="s">
        <v>39</v>
      </c>
    </row>
    <row r="15" customFormat="false" ht="15" hidden="false" customHeight="true" outlineLevel="0" collapsed="false">
      <c r="A15" s="7" t="s">
        <v>40</v>
      </c>
      <c r="B15" s="8" t="s">
        <v>41</v>
      </c>
      <c r="C15" s="8" t="s">
        <v>42</v>
      </c>
      <c r="D15" s="9" t="n">
        <v>80</v>
      </c>
      <c r="E15" s="9" t="n">
        <v>18000</v>
      </c>
      <c r="F15" s="9" t="n">
        <v>150</v>
      </c>
      <c r="G15" s="8" t="s">
        <v>20</v>
      </c>
    </row>
    <row r="16" customFormat="false" ht="15" hidden="false" customHeight="true" outlineLevel="0" collapsed="false">
      <c r="A16" s="13" t="s">
        <v>43</v>
      </c>
      <c r="B16" s="13"/>
      <c r="C16" s="13"/>
      <c r="D16" s="14" t="n">
        <f aca="false">SUM(D9:D15)</f>
        <v>5350</v>
      </c>
      <c r="E16" s="14" t="n">
        <f aca="false">SUM(E9:E15)</f>
        <v>255000</v>
      </c>
      <c r="F16" s="14" t="n">
        <f aca="false">SUM(F9:F15)</f>
        <v>1590</v>
      </c>
      <c r="G16" s="15" t="s">
        <v>44</v>
      </c>
    </row>
    <row r="18" customFormat="false" ht="15" hidden="false" customHeight="true" outlineLevel="0" collapsed="false">
      <c r="A18" s="16" t="s">
        <v>45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customFormat="false" ht="15" hidden="false" customHeight="true" outlineLevel="0" collapsed="false">
      <c r="A19" s="17" t="s">
        <v>46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customFormat="false" ht="15" hidden="false" customHeight="true" outlineLevel="0" collapsed="false">
      <c r="A20" s="17" t="s">
        <v>47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customFormat="false" ht="15" hidden="false" customHeight="true" outlineLevel="0" collapsed="false">
      <c r="A21" s="17" t="s">
        <v>48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customFormat="false" ht="15" hidden="false" customHeight="true" outlineLevel="0" collapsed="false">
      <c r="A22" s="17" t="s">
        <v>49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customFormat="false" ht="15" hidden="false" customHeight="true" outlineLevel="0" collapsed="false">
      <c r="A23" s="17" t="s">
        <v>50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</sheetData>
  <mergeCells count="17">
    <mergeCell ref="A1:N1"/>
    <mergeCell ref="A2:N2"/>
    <mergeCell ref="A3:B3"/>
    <mergeCell ref="C3:N3"/>
    <mergeCell ref="A4:B4"/>
    <mergeCell ref="C4:N4"/>
    <mergeCell ref="A5:B5"/>
    <mergeCell ref="C5:N5"/>
    <mergeCell ref="A6:B6"/>
    <mergeCell ref="C6:N6"/>
    <mergeCell ref="A16:C16"/>
    <mergeCell ref="A18:N18"/>
    <mergeCell ref="A19:N19"/>
    <mergeCell ref="A20:N20"/>
    <mergeCell ref="A21:N21"/>
    <mergeCell ref="A22:N22"/>
    <mergeCell ref="A23:N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5"/>
    <col collapsed="false" customWidth="true" hidden="false" outlineLevel="0" max="4" min="4" style="1" width="30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8" min="7" style="1" width="20"/>
    <col collapsed="false" customWidth="true" hidden="false" outlineLevel="0" max="9" min="9" style="1" width="12"/>
    <col collapsed="false" customWidth="true" hidden="false" outlineLevel="0" max="11" min="10" style="1" width="18"/>
    <col collapsed="false" customWidth="true" hidden="false" outlineLevel="0" max="12" min="12" style="1" width="30"/>
  </cols>
  <sheetData>
    <row r="1" customFormat="false" ht="34.5" hidden="false" customHeight="true" outlineLevel="0" collapsed="false">
      <c r="A1" s="18" t="s">
        <v>51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customFormat="false" ht="19.5" hidden="false" customHeight="true" outlineLevel="0" collapsed="false">
      <c r="A2" s="3" t="s">
        <v>52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true" outlineLevel="0" collapsed="false">
      <c r="A4" s="19" t="s">
        <v>53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customFormat="false" ht="21.75" hidden="false" customHeight="true" outlineLevel="0" collapsed="false">
      <c r="A5" s="20" t="s">
        <v>54</v>
      </c>
      <c r="B5" s="20" t="s">
        <v>55</v>
      </c>
      <c r="C5" s="20" t="s">
        <v>56</v>
      </c>
      <c r="D5" s="20" t="s">
        <v>57</v>
      </c>
      <c r="E5" s="20" t="s">
        <v>58</v>
      </c>
      <c r="F5" s="20" t="s">
        <v>59</v>
      </c>
      <c r="G5" s="20" t="s">
        <v>60</v>
      </c>
      <c r="H5" s="20" t="s">
        <v>61</v>
      </c>
      <c r="I5" s="20" t="s">
        <v>62</v>
      </c>
      <c r="J5" s="20" t="s">
        <v>63</v>
      </c>
      <c r="K5" s="20" t="s">
        <v>64</v>
      </c>
      <c r="L5" s="20" t="s">
        <v>65</v>
      </c>
    </row>
    <row r="6" customFormat="false" ht="21.75" hidden="false" customHeight="true" outlineLevel="0" collapsed="false">
      <c r="A6" s="11" t="n">
        <v>1</v>
      </c>
      <c r="B6" s="10" t="s">
        <v>66</v>
      </c>
      <c r="C6" s="11" t="s">
        <v>67</v>
      </c>
      <c r="D6" s="11" t="n">
        <v>4</v>
      </c>
      <c r="E6" s="11" t="n">
        <v>16</v>
      </c>
      <c r="F6" s="11" t="n">
        <v>100</v>
      </c>
      <c r="G6" s="11" t="s">
        <v>68</v>
      </c>
      <c r="H6" s="10" t="s">
        <v>69</v>
      </c>
      <c r="I6" s="11" t="s">
        <v>70</v>
      </c>
      <c r="J6" s="11" t="s">
        <v>71</v>
      </c>
      <c r="K6" s="11" t="s">
        <v>72</v>
      </c>
      <c r="L6" s="10" t="s">
        <v>73</v>
      </c>
    </row>
    <row r="7" customFormat="false" ht="21.75" hidden="false" customHeight="true" outlineLevel="0" collapsed="false">
      <c r="A7" s="21" t="n">
        <v>2</v>
      </c>
      <c r="B7" s="22" t="s">
        <v>74</v>
      </c>
      <c r="C7" s="21" t="s">
        <v>75</v>
      </c>
      <c r="D7" s="21" t="n">
        <v>8</v>
      </c>
      <c r="E7" s="21" t="n">
        <v>16</v>
      </c>
      <c r="F7" s="21" t="n">
        <v>100</v>
      </c>
      <c r="G7" s="21" t="s">
        <v>76</v>
      </c>
      <c r="H7" s="22" t="s">
        <v>77</v>
      </c>
      <c r="I7" s="21" t="s">
        <v>70</v>
      </c>
      <c r="J7" s="21" t="s">
        <v>78</v>
      </c>
      <c r="K7" s="21" t="s">
        <v>79</v>
      </c>
      <c r="L7" s="22" t="s">
        <v>80</v>
      </c>
    </row>
    <row r="8" customFormat="false" ht="21.75" hidden="false" customHeight="true" outlineLevel="0" collapsed="false">
      <c r="A8" s="21" t="n">
        <v>3</v>
      </c>
      <c r="B8" s="22" t="s">
        <v>81</v>
      </c>
      <c r="C8" s="21" t="s">
        <v>75</v>
      </c>
      <c r="D8" s="21" t="n">
        <v>4</v>
      </c>
      <c r="E8" s="21" t="n">
        <v>16</v>
      </c>
      <c r="F8" s="21" t="n">
        <v>100</v>
      </c>
      <c r="G8" s="21" t="s">
        <v>68</v>
      </c>
      <c r="H8" s="22" t="s">
        <v>82</v>
      </c>
      <c r="I8" s="21" t="s">
        <v>83</v>
      </c>
      <c r="J8" s="21" t="s">
        <v>84</v>
      </c>
      <c r="K8" s="21" t="s">
        <v>85</v>
      </c>
      <c r="L8" s="22" t="s">
        <v>80</v>
      </c>
    </row>
    <row r="9" customFormat="false" ht="21.75" hidden="false" customHeight="true" outlineLevel="0" collapsed="false">
      <c r="A9" s="8" t="n">
        <v>4</v>
      </c>
      <c r="B9" s="7" t="s">
        <v>86</v>
      </c>
      <c r="C9" s="8" t="s">
        <v>67</v>
      </c>
      <c r="D9" s="8" t="n">
        <v>4</v>
      </c>
      <c r="E9" s="8" t="n">
        <v>16</v>
      </c>
      <c r="F9" s="8" t="n">
        <v>100</v>
      </c>
      <c r="G9" s="8" t="s">
        <v>68</v>
      </c>
      <c r="H9" s="7" t="s">
        <v>87</v>
      </c>
      <c r="I9" s="8" t="s">
        <v>83</v>
      </c>
      <c r="J9" s="8" t="s">
        <v>88</v>
      </c>
      <c r="K9" s="8" t="s">
        <v>89</v>
      </c>
      <c r="L9" s="7" t="s">
        <v>90</v>
      </c>
    </row>
    <row r="10" customFormat="false" ht="21.75" hidden="false" customHeight="true" outlineLevel="0" collapsed="false">
      <c r="A10" s="11" t="n">
        <v>5</v>
      </c>
      <c r="B10" s="10" t="s">
        <v>91</v>
      </c>
      <c r="C10" s="11" t="s">
        <v>67</v>
      </c>
      <c r="D10" s="11" t="n">
        <v>8</v>
      </c>
      <c r="E10" s="11" t="n">
        <v>32</v>
      </c>
      <c r="F10" s="11" t="n">
        <v>1024</v>
      </c>
      <c r="G10" s="11" t="s">
        <v>68</v>
      </c>
      <c r="H10" s="10" t="s">
        <v>92</v>
      </c>
      <c r="I10" s="11" t="s">
        <v>70</v>
      </c>
      <c r="J10" s="11" t="s">
        <v>93</v>
      </c>
      <c r="K10" s="11" t="s">
        <v>94</v>
      </c>
      <c r="L10" s="10" t="s">
        <v>95</v>
      </c>
    </row>
    <row r="11" customFormat="false" ht="21.75" hidden="false" customHeight="true" outlineLevel="0" collapsed="false">
      <c r="A11" s="8" t="n">
        <v>6</v>
      </c>
      <c r="B11" s="7" t="s">
        <v>96</v>
      </c>
      <c r="C11" s="8" t="s">
        <v>67</v>
      </c>
      <c r="D11" s="8" t="n">
        <v>4</v>
      </c>
      <c r="E11" s="8" t="n">
        <v>8</v>
      </c>
      <c r="F11" s="8" t="n">
        <v>100</v>
      </c>
      <c r="G11" s="8" t="s">
        <v>68</v>
      </c>
      <c r="H11" s="7" t="s">
        <v>97</v>
      </c>
      <c r="I11" s="8" t="s">
        <v>70</v>
      </c>
      <c r="J11" s="8" t="s">
        <v>98</v>
      </c>
      <c r="K11" s="8" t="s">
        <v>99</v>
      </c>
      <c r="L11" s="7" t="s">
        <v>100</v>
      </c>
    </row>
    <row r="12" customFormat="false" ht="21.75" hidden="false" customHeight="true" outlineLevel="0" collapsed="false">
      <c r="A12" s="11" t="n">
        <v>7</v>
      </c>
      <c r="B12" s="10" t="s">
        <v>101</v>
      </c>
      <c r="C12" s="11" t="s">
        <v>67</v>
      </c>
      <c r="D12" s="11" t="n">
        <v>4</v>
      </c>
      <c r="E12" s="11" t="n">
        <v>16</v>
      </c>
      <c r="F12" s="11" t="n">
        <v>100</v>
      </c>
      <c r="G12" s="11" t="s">
        <v>68</v>
      </c>
      <c r="H12" s="10" t="s">
        <v>102</v>
      </c>
      <c r="I12" s="11" t="s">
        <v>70</v>
      </c>
      <c r="J12" s="11" t="s">
        <v>103</v>
      </c>
      <c r="K12" s="11" t="s">
        <v>104</v>
      </c>
      <c r="L12" s="10" t="s">
        <v>105</v>
      </c>
    </row>
    <row r="13" customFormat="false" ht="21.75" hidden="false" customHeight="true" outlineLevel="0" collapsed="false">
      <c r="A13" s="8" t="n">
        <v>8</v>
      </c>
      <c r="B13" s="7" t="s">
        <v>106</v>
      </c>
      <c r="C13" s="8" t="s">
        <v>67</v>
      </c>
      <c r="D13" s="8" t="n">
        <v>2</v>
      </c>
      <c r="E13" s="8" t="n">
        <v>8</v>
      </c>
      <c r="F13" s="8" t="n">
        <v>100</v>
      </c>
      <c r="G13" s="8" t="s">
        <v>68</v>
      </c>
      <c r="H13" s="7" t="s">
        <v>107</v>
      </c>
      <c r="I13" s="8" t="s">
        <v>70</v>
      </c>
      <c r="J13" s="8" t="s">
        <v>108</v>
      </c>
      <c r="K13" s="8" t="s">
        <v>109</v>
      </c>
      <c r="L13" s="7" t="s">
        <v>110</v>
      </c>
    </row>
    <row r="14" customFormat="false" ht="15" hidden="false" customHeight="true" outlineLevel="0" collapsed="false">
      <c r="A14" s="13" t="s">
        <v>111</v>
      </c>
      <c r="B14" s="13"/>
      <c r="C14" s="13"/>
      <c r="D14" s="23" t="n">
        <f aca="false">4+4+4+4+2+8</f>
        <v>26</v>
      </c>
      <c r="E14" s="23" t="n">
        <f aca="false">16+16+8+16+8+32</f>
        <v>96</v>
      </c>
      <c r="F14" s="23" t="n">
        <f aca="false">100+100+100+100+1024+100</f>
        <v>1524</v>
      </c>
    </row>
    <row r="17" customFormat="false" ht="15" hidden="false" customHeight="true" outlineLevel="0" collapsed="false">
      <c r="A17" s="19" t="s">
        <v>112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customFormat="false" ht="15" hidden="false" customHeight="true" outlineLevel="0" collapsed="false">
      <c r="A18" s="20" t="s">
        <v>54</v>
      </c>
      <c r="B18" s="20" t="s">
        <v>113</v>
      </c>
      <c r="C18" s="20" t="s">
        <v>114</v>
      </c>
      <c r="D18" s="20" t="s">
        <v>115</v>
      </c>
      <c r="E18" s="20" t="s">
        <v>116</v>
      </c>
      <c r="F18" s="20" t="s">
        <v>58</v>
      </c>
      <c r="G18" s="20" t="s">
        <v>117</v>
      </c>
      <c r="H18" s="20" t="s">
        <v>118</v>
      </c>
      <c r="I18" s="20" t="s">
        <v>119</v>
      </c>
      <c r="J18" s="20" t="s">
        <v>120</v>
      </c>
      <c r="K18" s="20" t="s">
        <v>121</v>
      </c>
      <c r="L18" s="20" t="s">
        <v>65</v>
      </c>
    </row>
    <row r="19" customFormat="false" ht="21.75" hidden="false" customHeight="true" outlineLevel="0" collapsed="false">
      <c r="A19" s="8" t="n">
        <v>1</v>
      </c>
      <c r="B19" s="7" t="s">
        <v>122</v>
      </c>
      <c r="C19" s="8" t="n">
        <v>2</v>
      </c>
      <c r="D19" s="7" t="s">
        <v>123</v>
      </c>
      <c r="E19" s="8" t="n">
        <v>32</v>
      </c>
      <c r="F19" s="8" t="n">
        <v>128</v>
      </c>
      <c r="G19" s="8" t="s">
        <v>124</v>
      </c>
      <c r="H19" s="7" t="s">
        <v>125</v>
      </c>
      <c r="I19" s="8" t="s">
        <v>126</v>
      </c>
      <c r="J19" s="24" t="n">
        <v>18000</v>
      </c>
      <c r="K19" s="9" t="n">
        <f aca="false">J19*C19</f>
        <v>36000</v>
      </c>
      <c r="L19" s="7" t="s">
        <v>127</v>
      </c>
    </row>
    <row r="20" customFormat="false" ht="21.75" hidden="false" customHeight="true" outlineLevel="0" collapsed="false">
      <c r="A20" s="11" t="n">
        <v>2</v>
      </c>
      <c r="B20" s="10" t="s">
        <v>128</v>
      </c>
      <c r="C20" s="11" t="n">
        <v>1</v>
      </c>
      <c r="D20" s="10" t="s">
        <v>129</v>
      </c>
      <c r="E20" s="11" t="n">
        <v>24</v>
      </c>
      <c r="F20" s="11" t="n">
        <v>64</v>
      </c>
      <c r="G20" s="11" t="s">
        <v>124</v>
      </c>
      <c r="H20" s="10" t="s">
        <v>125</v>
      </c>
      <c r="I20" s="11" t="s">
        <v>130</v>
      </c>
      <c r="J20" s="25" t="n">
        <v>12000</v>
      </c>
      <c r="K20" s="12" t="n">
        <f aca="false">J20*C20</f>
        <v>12000</v>
      </c>
      <c r="L20" s="10" t="s">
        <v>131</v>
      </c>
    </row>
    <row r="21" customFormat="false" ht="21.75" hidden="false" customHeight="true" outlineLevel="0" collapsed="false">
      <c r="A21" s="8" t="n">
        <v>3</v>
      </c>
      <c r="B21" s="7" t="s">
        <v>132</v>
      </c>
      <c r="C21" s="8" t="n">
        <v>1</v>
      </c>
      <c r="D21" s="7" t="s">
        <v>133</v>
      </c>
      <c r="E21" s="8" t="n">
        <v>48</v>
      </c>
      <c r="F21" s="8" t="n">
        <v>256</v>
      </c>
      <c r="G21" s="8" t="s">
        <v>124</v>
      </c>
      <c r="H21" s="7" t="s">
        <v>134</v>
      </c>
      <c r="I21" s="8" t="s">
        <v>126</v>
      </c>
      <c r="J21" s="24" t="n">
        <v>25000</v>
      </c>
      <c r="K21" s="9" t="n">
        <f aca="false">J21*C21</f>
        <v>25000</v>
      </c>
      <c r="L21" s="7" t="s">
        <v>135</v>
      </c>
    </row>
    <row r="22" customFormat="false" ht="21.75" hidden="false" customHeight="true" outlineLevel="0" collapsed="false">
      <c r="A22" s="11" t="n">
        <v>4</v>
      </c>
      <c r="B22" s="10" t="s">
        <v>136</v>
      </c>
      <c r="C22" s="11" t="n">
        <v>1</v>
      </c>
      <c r="D22" s="10" t="s">
        <v>137</v>
      </c>
      <c r="E22" s="11" t="n">
        <v>16</v>
      </c>
      <c r="F22" s="11" t="n">
        <v>32</v>
      </c>
      <c r="G22" s="11" t="s">
        <v>124</v>
      </c>
      <c r="H22" s="10" t="s">
        <v>138</v>
      </c>
      <c r="I22" s="11" t="s">
        <v>139</v>
      </c>
      <c r="J22" s="25" t="n">
        <v>4000</v>
      </c>
      <c r="K22" s="12" t="n">
        <f aca="false">J22*C22</f>
        <v>4000</v>
      </c>
      <c r="L22" s="10" t="s">
        <v>140</v>
      </c>
    </row>
    <row r="23" customFormat="false" ht="15" hidden="false" customHeight="true" outlineLevel="0" collapsed="false">
      <c r="A23" s="13" t="s">
        <v>141</v>
      </c>
      <c r="B23" s="13"/>
      <c r="C23" s="13"/>
      <c r="D23" s="13"/>
      <c r="E23" s="13"/>
      <c r="F23" s="13"/>
      <c r="G23" s="13"/>
      <c r="H23" s="13"/>
      <c r="I23" s="13"/>
      <c r="K23" s="14" t="n">
        <f aca="false">SUM(K19:K22)</f>
        <v>77000</v>
      </c>
    </row>
  </sheetData>
  <mergeCells count="6">
    <mergeCell ref="A1:N1"/>
    <mergeCell ref="A2:N2"/>
    <mergeCell ref="A4:L4"/>
    <mergeCell ref="A14:C14"/>
    <mergeCell ref="A17:L17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5"/>
    <col collapsed="false" customWidth="true" hidden="false" outlineLevel="0" max="3" min="3" style="1" width="5"/>
    <col collapsed="false" customWidth="true" hidden="false" outlineLevel="0" max="4" min="4" style="1" width="38"/>
    <col collapsed="false" customWidth="true" hidden="false" outlineLevel="0" max="5" min="5" style="1" width="10"/>
    <col collapsed="false" customWidth="true" hidden="false" outlineLevel="0" max="7" min="6" style="1" width="22"/>
    <col collapsed="false" customWidth="true" hidden="false" outlineLevel="0" max="8" min="8" style="1" width="8"/>
    <col collapsed="false" customWidth="true" hidden="false" outlineLevel="0" max="9" min="9" style="1" width="20"/>
    <col collapsed="false" customWidth="true" hidden="false" outlineLevel="0" max="10" min="10" style="1" width="16"/>
  </cols>
  <sheetData>
    <row r="1" customFormat="false" ht="34.5" hidden="false" customHeight="true" outlineLevel="0" collapsed="false">
      <c r="A1" s="18" t="s">
        <v>142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customFormat="false" ht="15" hidden="false" customHeight="true" outlineLevel="0" collapsed="false">
      <c r="A2" s="3" t="s">
        <v>143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true" outlineLevel="0" collapsed="false">
      <c r="A4" s="19" t="s">
        <v>144</v>
      </c>
      <c r="B4" s="19"/>
      <c r="C4" s="19"/>
      <c r="D4" s="19"/>
      <c r="E4" s="19"/>
      <c r="F4" s="19"/>
      <c r="G4" s="19"/>
      <c r="H4" s="19"/>
      <c r="I4" s="19"/>
      <c r="J4" s="19"/>
    </row>
    <row r="5" customFormat="false" ht="21.75" hidden="false" customHeight="true" outlineLevel="0" collapsed="false">
      <c r="A5" s="20" t="s">
        <v>54</v>
      </c>
      <c r="B5" s="20" t="s">
        <v>145</v>
      </c>
      <c r="C5" s="20" t="s">
        <v>146</v>
      </c>
      <c r="D5" s="20" t="s">
        <v>147</v>
      </c>
      <c r="E5" s="20" t="s">
        <v>148</v>
      </c>
      <c r="F5" s="20" t="s">
        <v>149</v>
      </c>
      <c r="G5" s="20" t="s">
        <v>150</v>
      </c>
      <c r="H5" s="20" t="s">
        <v>151</v>
      </c>
      <c r="I5" s="20" t="s">
        <v>152</v>
      </c>
      <c r="J5" s="20" t="s">
        <v>65</v>
      </c>
    </row>
    <row r="6" customFormat="false" ht="32.25" hidden="false" customHeight="true" outlineLevel="0" collapsed="false">
      <c r="A6" s="11" t="n">
        <v>1</v>
      </c>
      <c r="B6" s="10" t="s">
        <v>153</v>
      </c>
      <c r="C6" s="11" t="s">
        <v>154</v>
      </c>
      <c r="D6" s="10" t="s">
        <v>155</v>
      </c>
      <c r="E6" s="11" t="s">
        <v>156</v>
      </c>
      <c r="F6" s="11" t="s">
        <v>157</v>
      </c>
      <c r="G6" s="10" t="s">
        <v>158</v>
      </c>
      <c r="H6" s="11" t="s">
        <v>159</v>
      </c>
      <c r="I6" s="11" t="s">
        <v>160</v>
      </c>
      <c r="J6" s="10" t="s">
        <v>161</v>
      </c>
    </row>
    <row r="7" customFormat="false" ht="32.25" hidden="false" customHeight="true" outlineLevel="0" collapsed="false">
      <c r="A7" s="8" t="n">
        <v>2</v>
      </c>
      <c r="B7" s="7" t="s">
        <v>162</v>
      </c>
      <c r="C7" s="8" t="s">
        <v>154</v>
      </c>
      <c r="D7" s="7" t="s">
        <v>155</v>
      </c>
      <c r="E7" s="8" t="s">
        <v>156</v>
      </c>
      <c r="F7" s="8" t="s">
        <v>157</v>
      </c>
      <c r="G7" s="7" t="s">
        <v>163</v>
      </c>
      <c r="H7" s="8" t="s">
        <v>159</v>
      </c>
      <c r="I7" s="8" t="s">
        <v>160</v>
      </c>
      <c r="J7" s="7" t="s">
        <v>164</v>
      </c>
    </row>
    <row r="8" customFormat="false" ht="32.25" hidden="false" customHeight="true" outlineLevel="0" collapsed="false">
      <c r="A8" s="11" t="n">
        <v>3</v>
      </c>
      <c r="B8" s="10" t="s">
        <v>165</v>
      </c>
      <c r="C8" s="11" t="s">
        <v>154</v>
      </c>
      <c r="D8" s="10" t="s">
        <v>166</v>
      </c>
      <c r="E8" s="11" t="s">
        <v>167</v>
      </c>
      <c r="F8" s="11" t="s">
        <v>168</v>
      </c>
      <c r="G8" s="10" t="s">
        <v>169</v>
      </c>
      <c r="H8" s="11" t="s">
        <v>170</v>
      </c>
      <c r="I8" s="11" t="s">
        <v>160</v>
      </c>
      <c r="J8" s="10" t="s">
        <v>171</v>
      </c>
    </row>
    <row r="10" customFormat="false" ht="15" hidden="false" customHeight="true" outlineLevel="0" collapsed="false">
      <c r="A10" s="19" t="s">
        <v>172</v>
      </c>
      <c r="B10" s="19"/>
      <c r="C10" s="19"/>
      <c r="D10" s="19"/>
      <c r="E10" s="19"/>
      <c r="F10" s="19"/>
      <c r="G10" s="19"/>
      <c r="H10" s="19"/>
      <c r="I10" s="19"/>
      <c r="J10" s="19"/>
    </row>
    <row r="11" customFormat="false" ht="15" hidden="false" customHeight="true" outlineLevel="0" collapsed="false">
      <c r="A11" s="20" t="s">
        <v>54</v>
      </c>
      <c r="B11" s="20" t="s">
        <v>113</v>
      </c>
      <c r="C11" s="20" t="s">
        <v>114</v>
      </c>
      <c r="D11" s="20" t="s">
        <v>173</v>
      </c>
      <c r="E11" s="20" t="s">
        <v>58</v>
      </c>
      <c r="F11" s="20" t="s">
        <v>174</v>
      </c>
      <c r="G11" s="20" t="s">
        <v>175</v>
      </c>
      <c r="H11" s="20" t="s">
        <v>176</v>
      </c>
      <c r="I11" s="20" t="s">
        <v>120</v>
      </c>
      <c r="J11" s="20" t="s">
        <v>177</v>
      </c>
    </row>
    <row r="12" customFormat="false" ht="21.75" hidden="false" customHeight="true" outlineLevel="0" collapsed="false">
      <c r="A12" s="11" t="n">
        <v>1</v>
      </c>
      <c r="B12" s="10" t="s">
        <v>178</v>
      </c>
      <c r="C12" s="11" t="n">
        <v>1</v>
      </c>
      <c r="D12" s="10" t="s">
        <v>179</v>
      </c>
      <c r="E12" s="11" t="n">
        <v>256</v>
      </c>
      <c r="F12" s="10" t="s">
        <v>180</v>
      </c>
      <c r="G12" s="10" t="s">
        <v>181</v>
      </c>
      <c r="H12" s="11" t="s">
        <v>182</v>
      </c>
      <c r="I12" s="25" t="n">
        <v>45000</v>
      </c>
      <c r="J12" s="12" t="n">
        <f aca="false">I12*C12</f>
        <v>45000</v>
      </c>
    </row>
    <row r="13" customFormat="false" ht="15" hidden="false" customHeight="true" outlineLevel="0" collapsed="false">
      <c r="A13" s="8" t="n">
        <v>2</v>
      </c>
      <c r="B13" s="7" t="s">
        <v>183</v>
      </c>
      <c r="C13" s="8" t="n">
        <v>1</v>
      </c>
      <c r="D13" s="7" t="s">
        <v>184</v>
      </c>
      <c r="E13" s="8" t="n">
        <v>128</v>
      </c>
      <c r="F13" s="7" t="s">
        <v>185</v>
      </c>
      <c r="G13" s="7" t="s">
        <v>125</v>
      </c>
      <c r="H13" s="8" t="s">
        <v>182</v>
      </c>
      <c r="I13" s="24" t="n">
        <v>28000</v>
      </c>
      <c r="J13" s="9" t="n">
        <f aca="false">I13*C13</f>
        <v>28000</v>
      </c>
    </row>
    <row r="14" customFormat="false" ht="15" hidden="false" customHeight="true" outlineLevel="0" collapsed="false">
      <c r="A14" s="11" t="n">
        <v>3</v>
      </c>
      <c r="B14" s="10" t="s">
        <v>186</v>
      </c>
      <c r="C14" s="11" t="n">
        <v>1</v>
      </c>
      <c r="D14" s="10" t="s">
        <v>187</v>
      </c>
      <c r="E14" s="11" t="n">
        <v>64</v>
      </c>
      <c r="F14" s="10" t="s">
        <v>188</v>
      </c>
      <c r="G14" s="10" t="s">
        <v>138</v>
      </c>
      <c r="H14" s="11" t="s">
        <v>189</v>
      </c>
      <c r="I14" s="25" t="n">
        <v>8000</v>
      </c>
      <c r="J14" s="12" t="n">
        <f aca="false">I14*C14</f>
        <v>8000</v>
      </c>
    </row>
    <row r="15" customFormat="false" ht="15" hidden="false" customHeight="true" outlineLevel="0" collapsed="false">
      <c r="A15" s="13" t="s">
        <v>190</v>
      </c>
      <c r="B15" s="13"/>
      <c r="C15" s="13"/>
      <c r="D15" s="13"/>
      <c r="E15" s="13"/>
      <c r="F15" s="13"/>
      <c r="G15" s="13"/>
      <c r="H15" s="13"/>
      <c r="J15" s="14" t="n">
        <f aca="false">SUM(J12:J14)</f>
        <v>81000</v>
      </c>
    </row>
  </sheetData>
  <mergeCells count="5">
    <mergeCell ref="A1:N1"/>
    <mergeCell ref="A2:N2"/>
    <mergeCell ref="A4:J4"/>
    <mergeCell ref="A10:J10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5"/>
    <col collapsed="false" customWidth="true" hidden="false" outlineLevel="0" max="3" min="3" style="1" width="32"/>
    <col collapsed="false" customWidth="true" hidden="false" outlineLevel="0" max="4" min="4" style="1" width="5"/>
    <col collapsed="false" customWidth="true" hidden="false" outlineLevel="0" max="5" min="5" style="1" width="28"/>
    <col collapsed="false" customWidth="true" hidden="false" outlineLevel="0" max="6" min="6" style="1" width="25"/>
    <col collapsed="false" customWidth="true" hidden="false" outlineLevel="0" max="8" min="7" style="1" width="18"/>
    <col collapsed="false" customWidth="true" hidden="false" outlineLevel="0" max="9" min="9" style="1" width="16"/>
  </cols>
  <sheetData>
    <row r="1" customFormat="false" ht="34.5" hidden="false" customHeight="true" outlineLevel="0" collapsed="false">
      <c r="A1" s="18" t="s">
        <v>191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customFormat="false" ht="15" hidden="false" customHeight="true" outlineLevel="0" collapsed="false">
      <c r="A2" s="3" t="s">
        <v>192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true" outlineLevel="0" collapsed="false">
      <c r="A4" s="19" t="s">
        <v>193</v>
      </c>
      <c r="B4" s="19"/>
      <c r="C4" s="19"/>
      <c r="D4" s="19"/>
      <c r="E4" s="19"/>
      <c r="F4" s="19"/>
      <c r="G4" s="19"/>
      <c r="H4" s="19"/>
      <c r="I4" s="19"/>
    </row>
    <row r="5" customFormat="false" ht="21.75" hidden="false" customHeight="true" outlineLevel="0" collapsed="false">
      <c r="A5" s="20" t="s">
        <v>54</v>
      </c>
      <c r="B5" s="20" t="s">
        <v>194</v>
      </c>
      <c r="C5" s="20" t="s">
        <v>195</v>
      </c>
      <c r="D5" s="20" t="s">
        <v>196</v>
      </c>
      <c r="E5" s="20" t="s">
        <v>56</v>
      </c>
      <c r="F5" s="20" t="s">
        <v>197</v>
      </c>
      <c r="G5" s="20" t="s">
        <v>62</v>
      </c>
      <c r="H5" s="20" t="s">
        <v>198</v>
      </c>
      <c r="I5" s="20" t="s">
        <v>65</v>
      </c>
    </row>
    <row r="6" customFormat="false" ht="15" hidden="false" customHeight="true" outlineLevel="0" collapsed="false">
      <c r="A6" s="11" t="n">
        <v>1</v>
      </c>
      <c r="B6" s="10" t="s">
        <v>199</v>
      </c>
      <c r="C6" s="11" t="s">
        <v>200</v>
      </c>
      <c r="D6" s="11" t="n">
        <v>100</v>
      </c>
      <c r="E6" s="11" t="s">
        <v>201</v>
      </c>
      <c r="F6" s="10" t="s">
        <v>202</v>
      </c>
      <c r="G6" s="11" t="s">
        <v>70</v>
      </c>
      <c r="H6" s="12" t="n">
        <v>12</v>
      </c>
      <c r="I6" s="10" t="s">
        <v>203</v>
      </c>
    </row>
    <row r="7" customFormat="false" ht="15" hidden="false" customHeight="true" outlineLevel="0" collapsed="false">
      <c r="A7" s="8" t="n">
        <v>2</v>
      </c>
      <c r="B7" s="7" t="s">
        <v>74</v>
      </c>
      <c r="C7" s="8" t="s">
        <v>204</v>
      </c>
      <c r="D7" s="8" t="n">
        <v>100</v>
      </c>
      <c r="E7" s="8" t="s">
        <v>201</v>
      </c>
      <c r="F7" s="7" t="s">
        <v>74</v>
      </c>
      <c r="G7" s="8" t="s">
        <v>70</v>
      </c>
      <c r="H7" s="9" t="n">
        <v>10</v>
      </c>
      <c r="I7" s="7" t="s">
        <v>205</v>
      </c>
    </row>
    <row r="8" customFormat="false" ht="15" hidden="false" customHeight="true" outlineLevel="0" collapsed="false">
      <c r="A8" s="11" t="n">
        <v>3</v>
      </c>
      <c r="B8" s="10" t="s">
        <v>206</v>
      </c>
      <c r="C8" s="11" t="s">
        <v>200</v>
      </c>
      <c r="D8" s="11" t="n">
        <v>100</v>
      </c>
      <c r="E8" s="11" t="s">
        <v>201</v>
      </c>
      <c r="F8" s="10" t="s">
        <v>207</v>
      </c>
      <c r="G8" s="11" t="s">
        <v>83</v>
      </c>
      <c r="H8" s="12" t="n">
        <v>12</v>
      </c>
      <c r="I8" s="10" t="s">
        <v>205</v>
      </c>
    </row>
    <row r="9" customFormat="false" ht="15" hidden="false" customHeight="true" outlineLevel="0" collapsed="false">
      <c r="A9" s="8" t="n">
        <v>4</v>
      </c>
      <c r="B9" s="7" t="s">
        <v>208</v>
      </c>
      <c r="C9" s="8" t="s">
        <v>200</v>
      </c>
      <c r="D9" s="8" t="n">
        <v>100</v>
      </c>
      <c r="E9" s="8" t="s">
        <v>201</v>
      </c>
      <c r="F9" s="7" t="s">
        <v>86</v>
      </c>
      <c r="G9" s="8" t="s">
        <v>83</v>
      </c>
      <c r="H9" s="9" t="n">
        <v>12</v>
      </c>
      <c r="I9" s="7" t="s">
        <v>203</v>
      </c>
    </row>
    <row r="10" customFormat="false" ht="15" hidden="false" customHeight="true" outlineLevel="0" collapsed="false">
      <c r="A10" s="11" t="n">
        <v>5</v>
      </c>
      <c r="B10" s="10" t="s">
        <v>91</v>
      </c>
      <c r="C10" s="11" t="s">
        <v>204</v>
      </c>
      <c r="D10" s="11" t="n">
        <v>1024</v>
      </c>
      <c r="E10" s="11" t="s">
        <v>201</v>
      </c>
      <c r="F10" s="10" t="s">
        <v>91</v>
      </c>
      <c r="G10" s="11" t="s">
        <v>70</v>
      </c>
      <c r="H10" s="12" t="n">
        <v>80</v>
      </c>
      <c r="I10" s="10" t="s">
        <v>209</v>
      </c>
    </row>
    <row r="11" customFormat="false" ht="15" hidden="false" customHeight="true" outlineLevel="0" collapsed="false">
      <c r="A11" s="8" t="n">
        <v>6</v>
      </c>
      <c r="B11" s="7" t="s">
        <v>210</v>
      </c>
      <c r="C11" s="8" t="s">
        <v>200</v>
      </c>
      <c r="D11" s="8" t="n">
        <v>100</v>
      </c>
      <c r="E11" s="8" t="s">
        <v>201</v>
      </c>
      <c r="F11" s="7" t="s">
        <v>211</v>
      </c>
      <c r="G11" s="8" t="s">
        <v>70</v>
      </c>
      <c r="H11" s="9" t="n">
        <v>12</v>
      </c>
      <c r="I11" s="7" t="s">
        <v>203</v>
      </c>
    </row>
    <row r="12" customFormat="false" ht="15" hidden="false" customHeight="true" outlineLevel="0" collapsed="false">
      <c r="A12" s="11" t="n">
        <v>7</v>
      </c>
      <c r="B12" s="10" t="s">
        <v>101</v>
      </c>
      <c r="C12" s="11" t="s">
        <v>204</v>
      </c>
      <c r="D12" s="11" t="n">
        <v>100</v>
      </c>
      <c r="E12" s="11" t="s">
        <v>201</v>
      </c>
      <c r="F12" s="10" t="s">
        <v>101</v>
      </c>
      <c r="G12" s="11" t="s">
        <v>70</v>
      </c>
      <c r="H12" s="12" t="n">
        <v>10</v>
      </c>
      <c r="I12" s="10" t="s">
        <v>203</v>
      </c>
    </row>
    <row r="13" customFormat="false" ht="15" hidden="false" customHeight="true" outlineLevel="0" collapsed="false">
      <c r="A13" s="8" t="n">
        <v>8</v>
      </c>
      <c r="B13" s="7" t="s">
        <v>212</v>
      </c>
      <c r="C13" s="8" t="s">
        <v>204</v>
      </c>
      <c r="D13" s="8" t="n">
        <v>100</v>
      </c>
      <c r="E13" s="8" t="s">
        <v>201</v>
      </c>
      <c r="F13" s="7" t="s">
        <v>212</v>
      </c>
      <c r="G13" s="8" t="s">
        <v>70</v>
      </c>
      <c r="H13" s="9" t="n">
        <v>10</v>
      </c>
      <c r="I13" s="7" t="s">
        <v>203</v>
      </c>
    </row>
    <row r="14" customFormat="false" ht="15" hidden="false" customHeight="true" outlineLevel="0" collapsed="false">
      <c r="A14" s="11" t="n">
        <v>9</v>
      </c>
      <c r="B14" s="10" t="s">
        <v>213</v>
      </c>
      <c r="C14" s="11" t="s">
        <v>200</v>
      </c>
      <c r="D14" s="11" t="n">
        <v>500</v>
      </c>
      <c r="E14" s="11" t="s">
        <v>201</v>
      </c>
      <c r="F14" s="10" t="s">
        <v>214</v>
      </c>
      <c r="G14" s="11" t="s">
        <v>215</v>
      </c>
      <c r="H14" s="12" t="n">
        <v>55</v>
      </c>
      <c r="I14" s="10" t="s">
        <v>216</v>
      </c>
    </row>
    <row r="15" customFormat="false" ht="15" hidden="false" customHeight="true" outlineLevel="0" collapsed="false">
      <c r="A15" s="8" t="n">
        <v>10</v>
      </c>
      <c r="B15" s="7" t="s">
        <v>217</v>
      </c>
      <c r="C15" s="8" t="s">
        <v>200</v>
      </c>
      <c r="D15" s="8" t="n">
        <v>400</v>
      </c>
      <c r="E15" s="8" t="s">
        <v>201</v>
      </c>
      <c r="F15" s="7" t="s">
        <v>218</v>
      </c>
      <c r="G15" s="8" t="s">
        <v>70</v>
      </c>
      <c r="H15" s="9" t="n">
        <v>42</v>
      </c>
      <c r="I15" s="7" t="s">
        <v>219</v>
      </c>
    </row>
    <row r="16" customFormat="false" ht="147" hidden="false" customHeight="true" outlineLevel="0" collapsed="false">
      <c r="A16" s="15" t="s">
        <v>220</v>
      </c>
      <c r="D16" s="15" t="n">
        <f aca="false">SUM(D6:D15)</f>
        <v>2624</v>
      </c>
      <c r="H16" s="26" t="n">
        <f aca="false">SUM(H6:H15)</f>
        <v>255</v>
      </c>
    </row>
    <row r="19" customFormat="false" ht="15" hidden="false" customHeight="true" outlineLevel="0" collapsed="false">
      <c r="A19" s="19" t="s">
        <v>221</v>
      </c>
      <c r="B19" s="19"/>
      <c r="C19" s="19"/>
      <c r="D19" s="19"/>
      <c r="E19" s="19"/>
      <c r="F19" s="19"/>
      <c r="G19" s="19"/>
      <c r="H19" s="19"/>
      <c r="I19" s="19"/>
    </row>
    <row r="20" customFormat="false" ht="15" hidden="false" customHeight="true" outlineLevel="0" collapsed="false">
      <c r="A20" s="20" t="s">
        <v>54</v>
      </c>
      <c r="B20" s="20" t="s">
        <v>222</v>
      </c>
      <c r="C20" s="20" t="s">
        <v>147</v>
      </c>
      <c r="D20" s="20" t="s">
        <v>114</v>
      </c>
      <c r="E20" s="20" t="s">
        <v>223</v>
      </c>
      <c r="F20" s="20" t="s">
        <v>176</v>
      </c>
      <c r="G20" s="20" t="s">
        <v>224</v>
      </c>
      <c r="H20" s="20" t="s">
        <v>225</v>
      </c>
      <c r="I20" s="20" t="s">
        <v>177</v>
      </c>
    </row>
    <row r="21" customFormat="false" ht="21.75" hidden="false" customHeight="true" outlineLevel="0" collapsed="false">
      <c r="A21" s="8" t="n">
        <v>1</v>
      </c>
      <c r="B21" s="7" t="s">
        <v>226</v>
      </c>
      <c r="C21" s="7" t="s">
        <v>227</v>
      </c>
      <c r="D21" s="8" t="n">
        <v>8</v>
      </c>
      <c r="E21" s="7" t="s">
        <v>228</v>
      </c>
      <c r="F21" s="7" t="s">
        <v>229</v>
      </c>
      <c r="G21" s="7" t="s">
        <v>230</v>
      </c>
      <c r="H21" s="24" t="n">
        <v>2500</v>
      </c>
      <c r="I21" s="9" t="n">
        <f aca="false">D21*H21</f>
        <v>20000</v>
      </c>
    </row>
    <row r="22" customFormat="false" ht="15" hidden="false" customHeight="true" outlineLevel="0" collapsed="false">
      <c r="A22" s="11" t="n">
        <v>2</v>
      </c>
      <c r="B22" s="10" t="s">
        <v>231</v>
      </c>
      <c r="C22" s="10" t="s">
        <v>232</v>
      </c>
      <c r="D22" s="11" t="n">
        <v>16</v>
      </c>
      <c r="E22" s="10" t="s">
        <v>233</v>
      </c>
      <c r="F22" s="10" t="s">
        <v>234</v>
      </c>
      <c r="G22" s="10" t="s">
        <v>235</v>
      </c>
      <c r="H22" s="25" t="n">
        <v>400</v>
      </c>
      <c r="I22" s="12" t="n">
        <f aca="false">D22*H22</f>
        <v>6400</v>
      </c>
    </row>
    <row r="23" customFormat="false" ht="15" hidden="false" customHeight="true" outlineLevel="0" collapsed="false">
      <c r="A23" s="8" t="n">
        <v>3</v>
      </c>
      <c r="B23" s="7" t="s">
        <v>236</v>
      </c>
      <c r="C23" s="7" t="s">
        <v>237</v>
      </c>
      <c r="D23" s="8" t="n">
        <v>1</v>
      </c>
      <c r="E23" s="7" t="s">
        <v>238</v>
      </c>
      <c r="F23" s="7" t="s">
        <v>239</v>
      </c>
      <c r="G23" s="7" t="s">
        <v>240</v>
      </c>
      <c r="H23" s="24" t="n">
        <v>8000</v>
      </c>
      <c r="I23" s="9" t="n">
        <f aca="false">D23*H23</f>
        <v>8000</v>
      </c>
    </row>
    <row r="24" customFormat="false" ht="15" hidden="false" customHeight="true" outlineLevel="0" collapsed="false">
      <c r="A24" s="11" t="n">
        <v>4</v>
      </c>
      <c r="B24" s="10" t="s">
        <v>241</v>
      </c>
      <c r="C24" s="10" t="s">
        <v>242</v>
      </c>
      <c r="D24" s="11" t="n">
        <v>12</v>
      </c>
      <c r="E24" s="10" t="s">
        <v>243</v>
      </c>
      <c r="F24" s="10" t="s">
        <v>244</v>
      </c>
      <c r="G24" s="10" t="s">
        <v>245</v>
      </c>
      <c r="H24" s="25" t="n">
        <v>200</v>
      </c>
      <c r="I24" s="12" t="n">
        <f aca="false">D24*H24</f>
        <v>2400</v>
      </c>
    </row>
    <row r="25" customFormat="false" ht="21.75" hidden="false" customHeight="true" outlineLevel="0" collapsed="false">
      <c r="A25" s="8" t="n">
        <v>5</v>
      </c>
      <c r="B25" s="7" t="s">
        <v>246</v>
      </c>
      <c r="C25" s="7" t="s">
        <v>247</v>
      </c>
      <c r="D25" s="8" t="n">
        <v>2</v>
      </c>
      <c r="E25" s="7" t="s">
        <v>138</v>
      </c>
      <c r="F25" s="7" t="s">
        <v>248</v>
      </c>
      <c r="G25" s="7" t="s">
        <v>249</v>
      </c>
      <c r="H25" s="24" t="n">
        <v>5000</v>
      </c>
      <c r="I25" s="9" t="n">
        <f aca="false">D25*H25</f>
        <v>10000</v>
      </c>
    </row>
    <row r="26" customFormat="false" ht="15" hidden="false" customHeight="true" outlineLevel="0" collapsed="false">
      <c r="A26" s="13" t="s">
        <v>250</v>
      </c>
      <c r="B26" s="13"/>
      <c r="C26" s="13"/>
      <c r="D26" s="13"/>
      <c r="E26" s="13"/>
      <c r="F26" s="13"/>
      <c r="G26" s="13"/>
      <c r="I26" s="14" t="n">
        <f aca="false">SUM(I21:I25)</f>
        <v>46800</v>
      </c>
    </row>
    <row r="29" customFormat="false" ht="15" hidden="false" customHeight="true" outlineLevel="0" collapsed="false">
      <c r="A29" s="19" t="s">
        <v>251</v>
      </c>
      <c r="B29" s="19"/>
      <c r="C29" s="19"/>
      <c r="D29" s="19"/>
      <c r="E29" s="19"/>
      <c r="F29" s="19"/>
      <c r="G29" s="19"/>
      <c r="H29" s="19"/>
      <c r="I29" s="19"/>
    </row>
    <row r="30" customFormat="false" ht="15" hidden="false" customHeight="true" outlineLevel="0" collapsed="false">
      <c r="A30" s="20" t="s">
        <v>54</v>
      </c>
      <c r="B30" s="20" t="s">
        <v>222</v>
      </c>
      <c r="C30" s="20" t="s">
        <v>147</v>
      </c>
      <c r="D30" s="20" t="s">
        <v>114</v>
      </c>
      <c r="E30" s="20" t="s">
        <v>252</v>
      </c>
      <c r="F30" s="20" t="s">
        <v>253</v>
      </c>
      <c r="G30" s="20" t="s">
        <v>120</v>
      </c>
      <c r="H30" s="20" t="s">
        <v>254</v>
      </c>
      <c r="I30" s="20" t="s">
        <v>255</v>
      </c>
    </row>
    <row r="31" customFormat="false" ht="15" hidden="false" customHeight="true" outlineLevel="0" collapsed="false">
      <c r="A31" s="8" t="n">
        <v>1</v>
      </c>
      <c r="B31" s="7" t="s">
        <v>256</v>
      </c>
      <c r="C31" s="7" t="s">
        <v>257</v>
      </c>
      <c r="D31" s="8" t="n">
        <v>2</v>
      </c>
      <c r="E31" s="7" t="s">
        <v>258</v>
      </c>
      <c r="F31" s="7" t="s">
        <v>259</v>
      </c>
      <c r="G31" s="24" t="n">
        <v>8000</v>
      </c>
      <c r="H31" s="9" t="n">
        <v>50</v>
      </c>
      <c r="I31" s="9" t="n">
        <f aca="false">G31*D31</f>
        <v>16000</v>
      </c>
    </row>
    <row r="32" customFormat="false" ht="15" hidden="false" customHeight="true" outlineLevel="0" collapsed="false">
      <c r="A32" s="11" t="n">
        <v>2</v>
      </c>
      <c r="B32" s="10" t="s">
        <v>260</v>
      </c>
      <c r="C32" s="10" t="s">
        <v>261</v>
      </c>
      <c r="D32" s="11" t="n">
        <v>2</v>
      </c>
      <c r="E32" s="10" t="s">
        <v>262</v>
      </c>
      <c r="F32" s="10" t="s">
        <v>263</v>
      </c>
      <c r="G32" s="25" t="n">
        <v>2000</v>
      </c>
      <c r="H32" s="12" t="n">
        <v>20</v>
      </c>
      <c r="I32" s="12" t="n">
        <f aca="false">G32*D32</f>
        <v>4000</v>
      </c>
    </row>
    <row r="33" customFormat="false" ht="15" hidden="false" customHeight="true" outlineLevel="0" collapsed="false">
      <c r="A33" s="8" t="n">
        <v>3</v>
      </c>
      <c r="B33" s="7" t="s">
        <v>264</v>
      </c>
      <c r="C33" s="7" t="s">
        <v>265</v>
      </c>
      <c r="D33" s="8" t="n">
        <v>2</v>
      </c>
      <c r="E33" s="7" t="s">
        <v>266</v>
      </c>
      <c r="F33" s="7" t="s">
        <v>267</v>
      </c>
      <c r="G33" s="24" t="n">
        <v>12000</v>
      </c>
      <c r="H33" s="9" t="n">
        <v>150</v>
      </c>
      <c r="I33" s="9" t="n">
        <f aca="false">G33*D33</f>
        <v>24000</v>
      </c>
    </row>
    <row r="34" customFormat="false" ht="15" hidden="false" customHeight="true" outlineLevel="0" collapsed="false">
      <c r="A34" s="11" t="n">
        <v>4</v>
      </c>
      <c r="B34" s="10" t="s">
        <v>268</v>
      </c>
      <c r="C34" s="10" t="s">
        <v>269</v>
      </c>
      <c r="D34" s="11" t="n">
        <v>2</v>
      </c>
      <c r="E34" s="10" t="s">
        <v>270</v>
      </c>
      <c r="F34" s="10" t="s">
        <v>271</v>
      </c>
      <c r="G34" s="25" t="n">
        <v>15000</v>
      </c>
      <c r="H34" s="12" t="n">
        <v>80</v>
      </c>
      <c r="I34" s="12" t="n">
        <f aca="false">G34*D34</f>
        <v>30000</v>
      </c>
    </row>
    <row r="35" customFormat="false" ht="15" hidden="false" customHeight="true" outlineLevel="0" collapsed="false">
      <c r="A35" s="8" t="n">
        <v>5</v>
      </c>
      <c r="B35" s="7" t="s">
        <v>272</v>
      </c>
      <c r="C35" s="7" t="s">
        <v>273</v>
      </c>
      <c r="D35" s="8" t="n">
        <v>2</v>
      </c>
      <c r="E35" s="7" t="s">
        <v>274</v>
      </c>
      <c r="F35" s="7" t="s">
        <v>275</v>
      </c>
      <c r="G35" s="24" t="n">
        <v>0</v>
      </c>
      <c r="H35" s="9" t="n">
        <v>500</v>
      </c>
      <c r="I35" s="9" t="n">
        <v>0</v>
      </c>
    </row>
    <row r="36" customFormat="false" ht="15" hidden="false" customHeight="true" outlineLevel="0" collapsed="false">
      <c r="A36" s="11" t="n">
        <v>6</v>
      </c>
      <c r="B36" s="10" t="s">
        <v>276</v>
      </c>
      <c r="C36" s="10" t="s">
        <v>277</v>
      </c>
      <c r="D36" s="11" t="n">
        <v>1</v>
      </c>
      <c r="E36" s="10" t="s">
        <v>278</v>
      </c>
      <c r="F36" s="10" t="s">
        <v>279</v>
      </c>
      <c r="G36" s="25" t="n">
        <v>500</v>
      </c>
      <c r="H36" s="12" t="n">
        <v>0</v>
      </c>
      <c r="I36" s="12" t="n">
        <v>500</v>
      </c>
    </row>
    <row r="37" customFormat="false" ht="15" hidden="false" customHeight="true" outlineLevel="0" collapsed="false">
      <c r="A37" s="8" t="n">
        <v>7</v>
      </c>
      <c r="B37" s="7" t="s">
        <v>280</v>
      </c>
      <c r="C37" s="7" t="s">
        <v>281</v>
      </c>
      <c r="D37" s="8" t="n">
        <v>1</v>
      </c>
      <c r="E37" s="7" t="s">
        <v>282</v>
      </c>
      <c r="F37" s="7" t="s">
        <v>283</v>
      </c>
      <c r="G37" s="24" t="n">
        <v>3000</v>
      </c>
      <c r="H37" s="9" t="n">
        <v>30</v>
      </c>
      <c r="I37" s="9" t="n">
        <v>3000</v>
      </c>
    </row>
    <row r="38" customFormat="false" ht="15" hidden="false" customHeight="true" outlineLevel="0" collapsed="false">
      <c r="A38" s="13" t="s">
        <v>284</v>
      </c>
      <c r="B38" s="13"/>
      <c r="C38" s="13"/>
      <c r="D38" s="13"/>
      <c r="E38" s="13"/>
      <c r="F38" s="13"/>
      <c r="H38" s="14" t="n">
        <f aca="false">SUM(H31:H37)</f>
        <v>830</v>
      </c>
      <c r="I38" s="14" t="n">
        <f aca="false">SUM(I31:I37)</f>
        <v>77500</v>
      </c>
    </row>
  </sheetData>
  <mergeCells count="7">
    <mergeCell ref="A1:N1"/>
    <mergeCell ref="A2:N2"/>
    <mergeCell ref="A4:I4"/>
    <mergeCell ref="A19:I19"/>
    <mergeCell ref="A26:G26"/>
    <mergeCell ref="A29:I29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8" min="6" style="1" width="18"/>
  </cols>
  <sheetData>
    <row r="1" customFormat="false" ht="34.5" hidden="false" customHeight="true" outlineLevel="0" collapsed="false">
      <c r="A1" s="18" t="s">
        <v>285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customFormat="false" ht="15" hidden="false" customHeight="true" outlineLevel="0" collapsed="false">
      <c r="A2" s="3" t="s">
        <v>286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true" outlineLevel="0" collapsed="false">
      <c r="A4" s="19" t="s">
        <v>287</v>
      </c>
      <c r="B4" s="19"/>
      <c r="C4" s="19"/>
      <c r="D4" s="19"/>
      <c r="E4" s="19"/>
      <c r="F4" s="19"/>
      <c r="G4" s="19"/>
    </row>
    <row r="5" customFormat="false" ht="32.25" hidden="false" customHeight="true" outlineLevel="0" collapsed="false">
      <c r="A5" s="20" t="s">
        <v>54</v>
      </c>
      <c r="B5" s="20" t="s">
        <v>288</v>
      </c>
      <c r="C5" s="20" t="s">
        <v>289</v>
      </c>
      <c r="D5" s="20" t="s">
        <v>290</v>
      </c>
      <c r="E5" s="20" t="s">
        <v>291</v>
      </c>
      <c r="F5" s="20" t="s">
        <v>292</v>
      </c>
      <c r="G5" s="20" t="s">
        <v>65</v>
      </c>
    </row>
    <row r="6" customFormat="false" ht="15" hidden="false" customHeight="true" outlineLevel="0" collapsed="false">
      <c r="A6" s="11" t="n">
        <v>1</v>
      </c>
      <c r="B6" s="10" t="s">
        <v>293</v>
      </c>
      <c r="C6" s="11" t="n">
        <v>4</v>
      </c>
      <c r="D6" s="11" t="s">
        <v>294</v>
      </c>
      <c r="E6" s="27" t="n">
        <v>100</v>
      </c>
      <c r="F6" s="28" t="n">
        <f aca="false">C6*E6</f>
        <v>400</v>
      </c>
      <c r="G6" s="10" t="s">
        <v>295</v>
      </c>
    </row>
    <row r="7" customFormat="false" ht="15" hidden="false" customHeight="true" outlineLevel="0" collapsed="false">
      <c r="A7" s="8" t="n">
        <v>2</v>
      </c>
      <c r="B7" s="7" t="s">
        <v>296</v>
      </c>
      <c r="C7" s="8" t="n">
        <v>1</v>
      </c>
      <c r="D7" s="8" t="s">
        <v>294</v>
      </c>
      <c r="E7" s="29" t="n">
        <v>200</v>
      </c>
      <c r="F7" s="30" t="n">
        <f aca="false">C7*E7</f>
        <v>200</v>
      </c>
      <c r="G7" s="7" t="s">
        <v>297</v>
      </c>
    </row>
    <row r="8" customFormat="false" ht="15" hidden="false" customHeight="true" outlineLevel="0" collapsed="false">
      <c r="A8" s="11" t="n">
        <v>3</v>
      </c>
      <c r="B8" s="10" t="s">
        <v>298</v>
      </c>
      <c r="C8" s="11" t="n">
        <v>1</v>
      </c>
      <c r="D8" s="11" t="s">
        <v>294</v>
      </c>
      <c r="E8" s="27" t="n">
        <v>60</v>
      </c>
      <c r="F8" s="28" t="n">
        <f aca="false">C8*E8</f>
        <v>60</v>
      </c>
      <c r="G8" s="10" t="s">
        <v>299</v>
      </c>
    </row>
    <row r="9" customFormat="false" ht="15" hidden="false" customHeight="true" outlineLevel="0" collapsed="false">
      <c r="A9" s="8" t="n">
        <v>4</v>
      </c>
      <c r="B9" s="7" t="s">
        <v>300</v>
      </c>
      <c r="C9" s="8" t="n">
        <v>1</v>
      </c>
      <c r="D9" s="8" t="s">
        <v>294</v>
      </c>
      <c r="E9" s="29" t="n">
        <v>40</v>
      </c>
      <c r="F9" s="30" t="n">
        <f aca="false">C9*E9</f>
        <v>40</v>
      </c>
      <c r="G9" s="7" t="s">
        <v>301</v>
      </c>
    </row>
    <row r="10" customFormat="false" ht="15" hidden="false" customHeight="true" outlineLevel="0" collapsed="false">
      <c r="A10" s="11" t="n">
        <v>5</v>
      </c>
      <c r="B10" s="10" t="s">
        <v>302</v>
      </c>
      <c r="C10" s="11" t="n">
        <v>2</v>
      </c>
      <c r="D10" s="11" t="s">
        <v>294</v>
      </c>
      <c r="E10" s="27" t="n">
        <v>300</v>
      </c>
      <c r="F10" s="28" t="n">
        <f aca="false">C10*E10</f>
        <v>600</v>
      </c>
      <c r="G10" s="10" t="s">
        <v>303</v>
      </c>
    </row>
    <row r="11" customFormat="false" ht="15" hidden="false" customHeight="true" outlineLevel="0" collapsed="false">
      <c r="A11" s="8" t="n">
        <v>6</v>
      </c>
      <c r="B11" s="7" t="s">
        <v>304</v>
      </c>
      <c r="C11" s="8" t="n">
        <v>1</v>
      </c>
      <c r="D11" s="8" t="s">
        <v>294</v>
      </c>
      <c r="E11" s="29" t="n">
        <v>1800</v>
      </c>
      <c r="F11" s="30" t="n">
        <f aca="false">C11*E11</f>
        <v>1800</v>
      </c>
      <c r="G11" s="7" t="s">
        <v>305</v>
      </c>
    </row>
    <row r="12" customFormat="false" ht="15" hidden="false" customHeight="true" outlineLevel="0" collapsed="false">
      <c r="A12" s="11" t="n">
        <v>7</v>
      </c>
      <c r="B12" s="10" t="s">
        <v>306</v>
      </c>
      <c r="C12" s="11" t="n">
        <v>400</v>
      </c>
      <c r="D12" s="11" t="s">
        <v>307</v>
      </c>
      <c r="E12" s="27" t="n">
        <v>0.06</v>
      </c>
      <c r="F12" s="28" t="n">
        <f aca="false">C12*E12</f>
        <v>24</v>
      </c>
      <c r="G12" s="10" t="s">
        <v>308</v>
      </c>
    </row>
    <row r="13" customFormat="false" ht="15" hidden="false" customHeight="true" outlineLevel="0" collapsed="false">
      <c r="A13" s="8" t="n">
        <v>8</v>
      </c>
      <c r="B13" s="7" t="s">
        <v>309</v>
      </c>
      <c r="C13" s="8" t="n">
        <v>1324</v>
      </c>
      <c r="D13" s="8" t="s">
        <v>307</v>
      </c>
      <c r="E13" s="29" t="n">
        <v>0.05</v>
      </c>
      <c r="F13" s="30" t="n">
        <f aca="false">C13*E13</f>
        <v>66.2</v>
      </c>
      <c r="G13" s="7" t="s">
        <v>310</v>
      </c>
    </row>
    <row r="14" customFormat="false" ht="15" hidden="false" customHeight="true" outlineLevel="0" collapsed="false">
      <c r="A14" s="11" t="n">
        <v>9</v>
      </c>
      <c r="B14" s="10" t="s">
        <v>311</v>
      </c>
      <c r="C14" s="11" t="n">
        <v>12</v>
      </c>
      <c r="D14" s="11" t="s">
        <v>312</v>
      </c>
      <c r="E14" s="27" t="n">
        <v>50</v>
      </c>
      <c r="F14" s="28" t="n">
        <f aca="false">C14*E14</f>
        <v>600</v>
      </c>
      <c r="G14" s="10" t="s">
        <v>313</v>
      </c>
    </row>
    <row r="15" customFormat="false" ht="15" hidden="false" customHeight="true" outlineLevel="0" collapsed="false">
      <c r="A15" s="8" t="n">
        <v>10</v>
      </c>
      <c r="B15" s="7" t="s">
        <v>271</v>
      </c>
      <c r="C15" s="8" t="n">
        <v>1</v>
      </c>
      <c r="D15" s="8" t="s">
        <v>294</v>
      </c>
      <c r="E15" s="29" t="n">
        <v>100</v>
      </c>
      <c r="F15" s="30" t="n">
        <f aca="false">C15*E15</f>
        <v>100</v>
      </c>
      <c r="G15" s="7" t="s">
        <v>314</v>
      </c>
    </row>
    <row r="16" customFormat="false" ht="15" hidden="false" customHeight="true" outlineLevel="0" collapsed="false">
      <c r="A16" s="11" t="n">
        <v>11</v>
      </c>
      <c r="B16" s="10" t="s">
        <v>315</v>
      </c>
      <c r="C16" s="11" t="n">
        <v>1</v>
      </c>
      <c r="D16" s="11" t="s">
        <v>294</v>
      </c>
      <c r="E16" s="27" t="n">
        <v>20</v>
      </c>
      <c r="F16" s="28" t="n">
        <f aca="false">C16*E16</f>
        <v>20</v>
      </c>
      <c r="G16" s="10" t="s">
        <v>316</v>
      </c>
    </row>
    <row r="17" customFormat="false" ht="15" hidden="false" customHeight="true" outlineLevel="0" collapsed="false">
      <c r="A17" s="8" t="n">
        <v>12</v>
      </c>
      <c r="B17" s="7" t="s">
        <v>317</v>
      </c>
      <c r="C17" s="8" t="n">
        <v>1</v>
      </c>
      <c r="D17" s="8" t="s">
        <v>294</v>
      </c>
      <c r="E17" s="29" t="n">
        <v>40</v>
      </c>
      <c r="F17" s="30" t="n">
        <f aca="false">C17*E17</f>
        <v>40</v>
      </c>
      <c r="G17" s="7" t="s">
        <v>318</v>
      </c>
    </row>
    <row r="18" customFormat="false" ht="15" hidden="false" customHeight="true" outlineLevel="0" collapsed="false">
      <c r="A18" s="11" t="n">
        <v>13</v>
      </c>
      <c r="B18" s="10" t="s">
        <v>319</v>
      </c>
      <c r="C18" s="11" t="n">
        <v>1</v>
      </c>
      <c r="D18" s="11" t="s">
        <v>320</v>
      </c>
      <c r="E18" s="27" t="n">
        <v>10</v>
      </c>
      <c r="F18" s="28" t="n">
        <f aca="false">C18*E18</f>
        <v>10</v>
      </c>
      <c r="G18" s="10" t="s">
        <v>321</v>
      </c>
    </row>
    <row r="19" customFormat="false" ht="21.75" hidden="false" customHeight="true" outlineLevel="0" collapsed="false">
      <c r="A19" s="8" t="n">
        <v>14</v>
      </c>
      <c r="B19" s="7" t="s">
        <v>322</v>
      </c>
      <c r="C19" s="8" t="n">
        <v>23</v>
      </c>
      <c r="D19" s="8" t="s">
        <v>323</v>
      </c>
      <c r="E19" s="29" t="n">
        <v>5</v>
      </c>
      <c r="F19" s="30" t="n">
        <f aca="false">C19*E19</f>
        <v>115</v>
      </c>
      <c r="G19" s="7" t="s">
        <v>324</v>
      </c>
    </row>
    <row r="20" customFormat="false" ht="21.75" hidden="false" customHeight="true" outlineLevel="0" collapsed="false">
      <c r="A20" s="11" t="n">
        <v>15</v>
      </c>
      <c r="B20" s="10" t="s">
        <v>325</v>
      </c>
      <c r="C20" s="11" t="n">
        <v>2</v>
      </c>
      <c r="D20" s="11" t="s">
        <v>326</v>
      </c>
      <c r="E20" s="27" t="n">
        <v>0</v>
      </c>
      <c r="F20" s="28" t="n">
        <f aca="false">C20*E20</f>
        <v>0</v>
      </c>
      <c r="G20" s="10" t="s">
        <v>327</v>
      </c>
    </row>
    <row r="21" customFormat="false" ht="15" hidden="false" customHeight="true" outlineLevel="0" collapsed="false">
      <c r="A21" s="13" t="s">
        <v>328</v>
      </c>
      <c r="B21" s="13"/>
      <c r="C21" s="13"/>
      <c r="D21" s="13"/>
      <c r="E21" s="13"/>
      <c r="F21" s="14" t="n">
        <f aca="false">SUM(F6:F20)</f>
        <v>4075.2</v>
      </c>
    </row>
    <row r="22" customFormat="false" ht="15" hidden="false" customHeight="true" outlineLevel="0" collapsed="false">
      <c r="E22" s="31" t="s">
        <v>329</v>
      </c>
      <c r="F22" s="32" t="n">
        <f aca="false">F21*12</f>
        <v>48902.4</v>
      </c>
      <c r="G22" s="33" t="s">
        <v>330</v>
      </c>
      <c r="H22" s="32" t="n">
        <f aca="false">F21*12*16300</f>
        <v>797109120</v>
      </c>
    </row>
    <row r="25" customFormat="false" ht="15" hidden="false" customHeight="true" outlineLevel="0" collapsed="false">
      <c r="A25" s="19" t="s">
        <v>331</v>
      </c>
      <c r="B25" s="19"/>
      <c r="C25" s="19"/>
      <c r="D25" s="19"/>
      <c r="E25" s="19"/>
      <c r="F25" s="19"/>
      <c r="G25" s="19"/>
    </row>
    <row r="26" customFormat="false" ht="32.25" hidden="false" customHeight="true" outlineLevel="0" collapsed="false">
      <c r="A26" s="20" t="s">
        <v>54</v>
      </c>
      <c r="B26" s="20" t="s">
        <v>10</v>
      </c>
      <c r="C26" s="20" t="s">
        <v>332</v>
      </c>
      <c r="D26" s="20" t="s">
        <v>114</v>
      </c>
      <c r="E26" s="20" t="s">
        <v>333</v>
      </c>
      <c r="F26" s="20" t="s">
        <v>177</v>
      </c>
      <c r="G26" s="20" t="s">
        <v>65</v>
      </c>
    </row>
    <row r="27" customFormat="false" ht="105.75" hidden="false" customHeight="true" outlineLevel="0" collapsed="false">
      <c r="A27" s="8" t="n">
        <v>1</v>
      </c>
      <c r="B27" s="7" t="s">
        <v>334</v>
      </c>
      <c r="C27" s="7" t="s">
        <v>335</v>
      </c>
      <c r="D27" s="8" t="n">
        <v>2</v>
      </c>
      <c r="E27" s="24" t="n">
        <v>18000</v>
      </c>
      <c r="F27" s="9" t="n">
        <f aca="false">D27*E27</f>
        <v>36000</v>
      </c>
      <c r="G27" s="7" t="s">
        <v>336</v>
      </c>
    </row>
    <row r="28" customFormat="false" ht="105.75" hidden="false" customHeight="true" outlineLevel="0" collapsed="false">
      <c r="A28" s="11" t="n">
        <v>2</v>
      </c>
      <c r="B28" s="10" t="s">
        <v>334</v>
      </c>
      <c r="C28" s="10" t="s">
        <v>337</v>
      </c>
      <c r="D28" s="11" t="n">
        <v>1</v>
      </c>
      <c r="E28" s="25" t="n">
        <v>12000</v>
      </c>
      <c r="F28" s="12" t="n">
        <f aca="false">D28*E28</f>
        <v>12000</v>
      </c>
      <c r="G28" s="10" t="s">
        <v>338</v>
      </c>
    </row>
    <row r="29" customFormat="false" ht="95.25" hidden="false" customHeight="true" outlineLevel="0" collapsed="false">
      <c r="A29" s="8" t="n">
        <v>3</v>
      </c>
      <c r="B29" s="7" t="s">
        <v>334</v>
      </c>
      <c r="C29" s="7" t="s">
        <v>339</v>
      </c>
      <c r="D29" s="8" t="n">
        <v>1</v>
      </c>
      <c r="E29" s="24" t="n">
        <v>25000</v>
      </c>
      <c r="F29" s="9" t="n">
        <f aca="false">D29*E29</f>
        <v>25000</v>
      </c>
      <c r="G29" s="7" t="s">
        <v>340</v>
      </c>
    </row>
    <row r="30" customFormat="false" ht="95.25" hidden="false" customHeight="true" outlineLevel="0" collapsed="false">
      <c r="A30" s="11" t="n">
        <v>4</v>
      </c>
      <c r="B30" s="10" t="s">
        <v>334</v>
      </c>
      <c r="C30" s="10" t="s">
        <v>341</v>
      </c>
      <c r="D30" s="11" t="n">
        <v>1</v>
      </c>
      <c r="E30" s="25" t="n">
        <v>4000</v>
      </c>
      <c r="F30" s="12" t="n">
        <f aca="false">D30*E30</f>
        <v>4000</v>
      </c>
      <c r="G30" s="10" t="s">
        <v>342</v>
      </c>
    </row>
    <row r="31" customFormat="false" ht="105.75" hidden="false" customHeight="true" outlineLevel="0" collapsed="false">
      <c r="A31" s="8" t="n">
        <v>5</v>
      </c>
      <c r="B31" s="7" t="s">
        <v>343</v>
      </c>
      <c r="C31" s="7" t="s">
        <v>344</v>
      </c>
      <c r="D31" s="8" t="n">
        <v>1</v>
      </c>
      <c r="E31" s="24" t="n">
        <v>45000</v>
      </c>
      <c r="F31" s="9" t="n">
        <f aca="false">D31*E31</f>
        <v>45000</v>
      </c>
      <c r="G31" s="7" t="s">
        <v>345</v>
      </c>
    </row>
    <row r="32" customFormat="false" ht="95.25" hidden="false" customHeight="true" outlineLevel="0" collapsed="false">
      <c r="A32" s="11" t="n">
        <v>6</v>
      </c>
      <c r="B32" s="10" t="s">
        <v>343</v>
      </c>
      <c r="C32" s="10" t="s">
        <v>346</v>
      </c>
      <c r="D32" s="11" t="n">
        <v>1</v>
      </c>
      <c r="E32" s="25" t="n">
        <v>28000</v>
      </c>
      <c r="F32" s="12" t="n">
        <f aca="false">D32*E32</f>
        <v>28000</v>
      </c>
      <c r="G32" s="10" t="s">
        <v>347</v>
      </c>
    </row>
    <row r="33" customFormat="false" ht="95.25" hidden="false" customHeight="true" outlineLevel="0" collapsed="false">
      <c r="A33" s="8" t="n">
        <v>7</v>
      </c>
      <c r="B33" s="7" t="s">
        <v>343</v>
      </c>
      <c r="C33" s="7" t="s">
        <v>348</v>
      </c>
      <c r="D33" s="8" t="n">
        <v>1</v>
      </c>
      <c r="E33" s="24" t="n">
        <v>8000</v>
      </c>
      <c r="F33" s="9" t="n">
        <f aca="false">D33*E33</f>
        <v>8000</v>
      </c>
      <c r="G33" s="7" t="s">
        <v>349</v>
      </c>
    </row>
    <row r="34" customFormat="false" ht="84.75" hidden="false" customHeight="true" outlineLevel="0" collapsed="false">
      <c r="A34" s="11" t="n">
        <v>8</v>
      </c>
      <c r="B34" s="10" t="s">
        <v>350</v>
      </c>
      <c r="C34" s="10" t="s">
        <v>351</v>
      </c>
      <c r="D34" s="11" t="n">
        <v>8</v>
      </c>
      <c r="E34" s="25" t="n">
        <v>2500</v>
      </c>
      <c r="F34" s="12" t="n">
        <f aca="false">D34*E34</f>
        <v>20000</v>
      </c>
      <c r="G34" s="10" t="s">
        <v>352</v>
      </c>
    </row>
    <row r="35" customFormat="false" ht="74.25" hidden="false" customHeight="true" outlineLevel="0" collapsed="false">
      <c r="A35" s="8" t="n">
        <v>9</v>
      </c>
      <c r="B35" s="7" t="s">
        <v>350</v>
      </c>
      <c r="C35" s="7" t="s">
        <v>353</v>
      </c>
      <c r="D35" s="8" t="n">
        <v>16</v>
      </c>
      <c r="E35" s="24" t="n">
        <v>400</v>
      </c>
      <c r="F35" s="9" t="n">
        <f aca="false">D35*E35</f>
        <v>6400</v>
      </c>
      <c r="G35" s="7" t="s">
        <v>354</v>
      </c>
    </row>
    <row r="36" customFormat="false" ht="63.75" hidden="false" customHeight="true" outlineLevel="0" collapsed="false">
      <c r="A36" s="11" t="n">
        <v>10</v>
      </c>
      <c r="B36" s="10" t="s">
        <v>350</v>
      </c>
      <c r="C36" s="10" t="s">
        <v>355</v>
      </c>
      <c r="D36" s="11" t="n">
        <v>1</v>
      </c>
      <c r="E36" s="25" t="n">
        <v>8000</v>
      </c>
      <c r="F36" s="12" t="n">
        <f aca="false">D36*E36</f>
        <v>8000</v>
      </c>
      <c r="G36" s="10" t="s">
        <v>356</v>
      </c>
    </row>
    <row r="37" customFormat="false" ht="53.25" hidden="false" customHeight="true" outlineLevel="0" collapsed="false">
      <c r="A37" s="8" t="n">
        <v>11</v>
      </c>
      <c r="B37" s="7" t="s">
        <v>350</v>
      </c>
      <c r="C37" s="7" t="s">
        <v>357</v>
      </c>
      <c r="D37" s="8" t="n">
        <v>12</v>
      </c>
      <c r="E37" s="24" t="n">
        <v>200</v>
      </c>
      <c r="F37" s="9" t="n">
        <f aca="false">D37*E37</f>
        <v>2400</v>
      </c>
      <c r="G37" s="7" t="s">
        <v>358</v>
      </c>
    </row>
    <row r="38" customFormat="false" ht="53.25" hidden="false" customHeight="true" outlineLevel="0" collapsed="false">
      <c r="A38" s="11" t="n">
        <v>12</v>
      </c>
      <c r="B38" s="10" t="s">
        <v>350</v>
      </c>
      <c r="C38" s="10" t="s">
        <v>359</v>
      </c>
      <c r="D38" s="11" t="n">
        <v>2</v>
      </c>
      <c r="E38" s="25" t="n">
        <v>5000</v>
      </c>
      <c r="F38" s="12" t="n">
        <f aca="false">D38*E38</f>
        <v>10000</v>
      </c>
      <c r="G38" s="10" t="s">
        <v>360</v>
      </c>
    </row>
    <row r="39" customFormat="false" ht="74.25" hidden="false" customHeight="true" outlineLevel="0" collapsed="false">
      <c r="A39" s="8" t="n">
        <v>13</v>
      </c>
      <c r="B39" s="7" t="s">
        <v>361</v>
      </c>
      <c r="C39" s="7" t="s">
        <v>362</v>
      </c>
      <c r="D39" s="8" t="n">
        <v>2</v>
      </c>
      <c r="E39" s="24" t="n">
        <v>8000</v>
      </c>
      <c r="F39" s="9" t="n">
        <f aca="false">D39*E39</f>
        <v>16000</v>
      </c>
      <c r="G39" s="7" t="s">
        <v>363</v>
      </c>
    </row>
    <row r="40" customFormat="false" ht="84.75" hidden="false" customHeight="true" outlineLevel="0" collapsed="false">
      <c r="A40" s="11" t="n">
        <v>14</v>
      </c>
      <c r="B40" s="10" t="s">
        <v>361</v>
      </c>
      <c r="C40" s="10" t="s">
        <v>364</v>
      </c>
      <c r="D40" s="11" t="n">
        <v>2</v>
      </c>
      <c r="E40" s="25" t="n">
        <v>2000</v>
      </c>
      <c r="F40" s="12" t="n">
        <f aca="false">D40*E40</f>
        <v>4000</v>
      </c>
      <c r="G40" s="10" t="s">
        <v>365</v>
      </c>
    </row>
    <row r="41" customFormat="false" ht="74.25" hidden="false" customHeight="true" outlineLevel="0" collapsed="false">
      <c r="A41" s="8" t="n">
        <v>15</v>
      </c>
      <c r="B41" s="7" t="s">
        <v>361</v>
      </c>
      <c r="C41" s="7" t="s">
        <v>366</v>
      </c>
      <c r="D41" s="8" t="n">
        <v>2</v>
      </c>
      <c r="E41" s="24" t="n">
        <v>12000</v>
      </c>
      <c r="F41" s="9" t="n">
        <f aca="false">D41*E41</f>
        <v>24000</v>
      </c>
      <c r="G41" s="7" t="s">
        <v>367</v>
      </c>
    </row>
    <row r="42" customFormat="false" ht="84.75" hidden="false" customHeight="true" outlineLevel="0" collapsed="false">
      <c r="A42" s="11" t="n">
        <v>16</v>
      </c>
      <c r="B42" s="10" t="s">
        <v>361</v>
      </c>
      <c r="C42" s="10" t="s">
        <v>368</v>
      </c>
      <c r="D42" s="11" t="n">
        <v>2</v>
      </c>
      <c r="E42" s="25" t="n">
        <v>15000</v>
      </c>
      <c r="F42" s="12" t="n">
        <f aca="false">D42*E42</f>
        <v>30000</v>
      </c>
      <c r="G42" s="10" t="s">
        <v>369</v>
      </c>
    </row>
    <row r="43" customFormat="false" ht="53.25" hidden="false" customHeight="true" outlineLevel="0" collapsed="false">
      <c r="A43" s="8" t="n">
        <v>17</v>
      </c>
      <c r="B43" s="7" t="s">
        <v>361</v>
      </c>
      <c r="C43" s="7" t="s">
        <v>370</v>
      </c>
      <c r="D43" s="8" t="n">
        <v>1</v>
      </c>
      <c r="E43" s="24" t="n">
        <v>3000</v>
      </c>
      <c r="F43" s="9" t="n">
        <f aca="false">D43*E43</f>
        <v>3000</v>
      </c>
      <c r="G43" s="7" t="s">
        <v>371</v>
      </c>
    </row>
    <row r="44" customFormat="false" ht="63.75" hidden="false" customHeight="true" outlineLevel="0" collapsed="false">
      <c r="A44" s="11" t="n">
        <v>18</v>
      </c>
      <c r="B44" s="10" t="s">
        <v>361</v>
      </c>
      <c r="C44" s="10" t="s">
        <v>372</v>
      </c>
      <c r="D44" s="11" t="n">
        <v>1</v>
      </c>
      <c r="E44" s="25" t="n">
        <v>500</v>
      </c>
      <c r="F44" s="12" t="n">
        <f aca="false">D44*E44</f>
        <v>500</v>
      </c>
      <c r="G44" s="10" t="s">
        <v>373</v>
      </c>
    </row>
    <row r="45" customFormat="false" ht="63.75" hidden="false" customHeight="true" outlineLevel="0" collapsed="false">
      <c r="A45" s="8" t="n">
        <v>19</v>
      </c>
      <c r="B45" s="7" t="s">
        <v>374</v>
      </c>
      <c r="C45" s="7" t="s">
        <v>375</v>
      </c>
      <c r="D45" s="8" t="n">
        <v>3</v>
      </c>
      <c r="E45" s="24" t="n">
        <v>1500</v>
      </c>
      <c r="F45" s="9" t="n">
        <f aca="false">D45*E45</f>
        <v>4500</v>
      </c>
      <c r="G45" s="7" t="s">
        <v>376</v>
      </c>
    </row>
    <row r="46" customFormat="false" ht="32.25" hidden="false" customHeight="true" outlineLevel="0" collapsed="false">
      <c r="A46" s="11" t="n">
        <v>20</v>
      </c>
      <c r="B46" s="10" t="s">
        <v>374</v>
      </c>
      <c r="C46" s="10" t="s">
        <v>377</v>
      </c>
      <c r="D46" s="11" t="n">
        <v>2</v>
      </c>
      <c r="E46" s="25" t="n">
        <v>5000</v>
      </c>
      <c r="F46" s="12" t="n">
        <f aca="false">D46*E46</f>
        <v>10000</v>
      </c>
      <c r="G46" s="10" t="s">
        <v>378</v>
      </c>
    </row>
    <row r="47" customFormat="false" ht="32.25" hidden="false" customHeight="true" outlineLevel="0" collapsed="false">
      <c r="A47" s="8" t="n">
        <v>21</v>
      </c>
      <c r="B47" s="7" t="s">
        <v>374</v>
      </c>
      <c r="C47" s="7" t="s">
        <v>379</v>
      </c>
      <c r="D47" s="8" t="n">
        <v>6</v>
      </c>
      <c r="E47" s="24" t="n">
        <v>500</v>
      </c>
      <c r="F47" s="9" t="n">
        <f aca="false">D47*E47</f>
        <v>3000</v>
      </c>
      <c r="G47" s="7" t="s">
        <v>380</v>
      </c>
    </row>
    <row r="48" customFormat="false" ht="53.25" hidden="false" customHeight="true" outlineLevel="0" collapsed="false">
      <c r="A48" s="11" t="n">
        <v>22</v>
      </c>
      <c r="B48" s="10" t="s">
        <v>374</v>
      </c>
      <c r="C48" s="10" t="s">
        <v>381</v>
      </c>
      <c r="D48" s="11" t="n">
        <v>1</v>
      </c>
      <c r="E48" s="25" t="n">
        <v>1500</v>
      </c>
      <c r="F48" s="12" t="n">
        <f aca="false">D48*E48</f>
        <v>1500</v>
      </c>
      <c r="G48" s="10" t="s">
        <v>382</v>
      </c>
    </row>
    <row r="49" customFormat="false" ht="95.25" hidden="false" customHeight="true" outlineLevel="0" collapsed="false">
      <c r="A49" s="8" t="n">
        <v>23</v>
      </c>
      <c r="B49" s="7" t="s">
        <v>383</v>
      </c>
      <c r="C49" s="7" t="s">
        <v>384</v>
      </c>
      <c r="D49" s="8" t="n">
        <v>5</v>
      </c>
      <c r="E49" s="24" t="n">
        <v>0</v>
      </c>
      <c r="F49" s="9" t="n">
        <f aca="false">D49*E49</f>
        <v>0</v>
      </c>
      <c r="G49" s="7" t="s">
        <v>385</v>
      </c>
    </row>
    <row r="50" customFormat="false" ht="42.75" hidden="false" customHeight="true" outlineLevel="0" collapsed="false">
      <c r="A50" s="11" t="n">
        <v>24</v>
      </c>
      <c r="B50" s="10" t="s">
        <v>383</v>
      </c>
      <c r="C50" s="10" t="s">
        <v>386</v>
      </c>
      <c r="D50" s="11" t="n">
        <v>10</v>
      </c>
      <c r="E50" s="25" t="n">
        <v>0</v>
      </c>
      <c r="F50" s="12" t="n">
        <f aca="false">D50*E50</f>
        <v>0</v>
      </c>
      <c r="G50" s="10" t="s">
        <v>385</v>
      </c>
    </row>
    <row r="51" customFormat="false" ht="63.75" hidden="false" customHeight="true" outlineLevel="0" collapsed="false">
      <c r="A51" s="8" t="n">
        <v>25</v>
      </c>
      <c r="B51" s="7" t="s">
        <v>383</v>
      </c>
      <c r="C51" s="7" t="s">
        <v>387</v>
      </c>
      <c r="D51" s="8" t="n">
        <v>1</v>
      </c>
      <c r="E51" s="24" t="n">
        <v>0</v>
      </c>
      <c r="F51" s="9" t="n">
        <f aca="false">D51*E51</f>
        <v>0</v>
      </c>
      <c r="G51" s="7" t="s">
        <v>388</v>
      </c>
    </row>
    <row r="52" customFormat="false" ht="95.25" hidden="false" customHeight="true" outlineLevel="0" collapsed="false">
      <c r="A52" s="11" t="n">
        <v>26</v>
      </c>
      <c r="B52" s="10" t="s">
        <v>383</v>
      </c>
      <c r="C52" s="10" t="s">
        <v>389</v>
      </c>
      <c r="D52" s="11" t="n">
        <v>1</v>
      </c>
      <c r="E52" s="25" t="n">
        <v>2000</v>
      </c>
      <c r="F52" s="12" t="n">
        <f aca="false">D52*E52</f>
        <v>2000</v>
      </c>
      <c r="G52" s="10" t="s">
        <v>390</v>
      </c>
    </row>
    <row r="53" customFormat="false" ht="63.75" hidden="false" customHeight="true" outlineLevel="0" collapsed="false">
      <c r="A53" s="8" t="n">
        <v>27</v>
      </c>
      <c r="B53" s="7" t="s">
        <v>391</v>
      </c>
      <c r="C53" s="7" t="s">
        <v>392</v>
      </c>
      <c r="D53" s="8" t="n">
        <v>1</v>
      </c>
      <c r="E53" s="24" t="n">
        <v>8000</v>
      </c>
      <c r="F53" s="9" t="n">
        <f aca="false">D53*E53</f>
        <v>8000</v>
      </c>
      <c r="G53" s="7" t="s">
        <v>393</v>
      </c>
    </row>
    <row r="54" customFormat="false" ht="53.25" hidden="false" customHeight="true" outlineLevel="0" collapsed="false">
      <c r="A54" s="11" t="n">
        <v>28</v>
      </c>
      <c r="B54" s="10" t="s">
        <v>391</v>
      </c>
      <c r="C54" s="10" t="s">
        <v>394</v>
      </c>
      <c r="D54" s="11" t="n">
        <v>1</v>
      </c>
      <c r="E54" s="25" t="n">
        <v>5000</v>
      </c>
      <c r="F54" s="12" t="n">
        <f aca="false">D54*E54</f>
        <v>5000</v>
      </c>
      <c r="G54" s="10" t="s">
        <v>395</v>
      </c>
    </row>
    <row r="55" customFormat="false" ht="15" hidden="false" customHeight="true" outlineLevel="0" collapsed="false">
      <c r="A55" s="13" t="s">
        <v>396</v>
      </c>
      <c r="B55" s="13"/>
      <c r="C55" s="13"/>
      <c r="D55" s="13"/>
      <c r="E55" s="13"/>
      <c r="F55" s="14" t="n">
        <f aca="false">SUM(F27:F54)</f>
        <v>316300</v>
      </c>
      <c r="G55" s="34" t="n">
        <f aca="false">F55*16300</f>
        <v>5155690000</v>
      </c>
    </row>
    <row r="58" customFormat="false" ht="15" hidden="false" customHeight="true" outlineLevel="0" collapsed="false">
      <c r="A58" s="19" t="s">
        <v>397</v>
      </c>
      <c r="B58" s="19"/>
      <c r="C58" s="19"/>
      <c r="D58" s="19"/>
      <c r="E58" s="19"/>
      <c r="F58" s="19"/>
      <c r="G58" s="19"/>
    </row>
    <row r="59" customFormat="false" ht="32.25" hidden="false" customHeight="true" outlineLevel="0" collapsed="false">
      <c r="A59" s="20" t="s">
        <v>54</v>
      </c>
      <c r="B59" s="20" t="s">
        <v>398</v>
      </c>
      <c r="C59" s="20" t="s">
        <v>65</v>
      </c>
      <c r="D59" s="20" t="s">
        <v>114</v>
      </c>
      <c r="E59" s="20" t="s">
        <v>290</v>
      </c>
      <c r="F59" s="20" t="s">
        <v>399</v>
      </c>
      <c r="G59" s="20" t="s">
        <v>292</v>
      </c>
    </row>
    <row r="60" customFormat="false" ht="63.75" hidden="false" customHeight="true" outlineLevel="0" collapsed="false">
      <c r="A60" s="11" t="n">
        <v>1</v>
      </c>
      <c r="B60" s="10" t="s">
        <v>400</v>
      </c>
      <c r="C60" s="10" t="s">
        <v>401</v>
      </c>
      <c r="D60" s="11" t="n">
        <v>1</v>
      </c>
      <c r="E60" s="10" t="s">
        <v>402</v>
      </c>
      <c r="F60" s="25" t="n">
        <v>450</v>
      </c>
      <c r="G60" s="12" t="n">
        <f aca="false">D60*F60</f>
        <v>450</v>
      </c>
    </row>
    <row r="61" customFormat="false" ht="53.25" hidden="false" customHeight="true" outlineLevel="0" collapsed="false">
      <c r="A61" s="8" t="n">
        <v>2</v>
      </c>
      <c r="B61" s="7" t="s">
        <v>403</v>
      </c>
      <c r="C61" s="7" t="s">
        <v>404</v>
      </c>
      <c r="D61" s="8" t="n">
        <v>1</v>
      </c>
      <c r="E61" s="7" t="s">
        <v>402</v>
      </c>
      <c r="F61" s="24" t="n">
        <v>150</v>
      </c>
      <c r="G61" s="9" t="n">
        <f aca="false">D61*F61</f>
        <v>150</v>
      </c>
    </row>
    <row r="62" customFormat="false" ht="84.75" hidden="false" customHeight="true" outlineLevel="0" collapsed="false">
      <c r="A62" s="11" t="n">
        <v>3</v>
      </c>
      <c r="B62" s="10" t="s">
        <v>405</v>
      </c>
      <c r="C62" s="10" t="s">
        <v>406</v>
      </c>
      <c r="D62" s="11" t="n">
        <v>1</v>
      </c>
      <c r="E62" s="10" t="s">
        <v>402</v>
      </c>
      <c r="F62" s="25" t="n">
        <v>300</v>
      </c>
      <c r="G62" s="12" t="n">
        <f aca="false">D62*F62</f>
        <v>300</v>
      </c>
    </row>
    <row r="63" customFormat="false" ht="63.75" hidden="false" customHeight="true" outlineLevel="0" collapsed="false">
      <c r="A63" s="8" t="n">
        <v>4</v>
      </c>
      <c r="B63" s="7" t="s">
        <v>407</v>
      </c>
      <c r="C63" s="7" t="s">
        <v>408</v>
      </c>
      <c r="D63" s="8" t="n">
        <v>1</v>
      </c>
      <c r="E63" s="7" t="s">
        <v>409</v>
      </c>
      <c r="F63" s="24" t="n">
        <v>700</v>
      </c>
      <c r="G63" s="9" t="n">
        <f aca="false">D63*F63</f>
        <v>700</v>
      </c>
    </row>
    <row r="64" customFormat="false" ht="53.25" hidden="false" customHeight="true" outlineLevel="0" collapsed="false">
      <c r="A64" s="11" t="n">
        <v>5</v>
      </c>
      <c r="B64" s="10" t="s">
        <v>410</v>
      </c>
      <c r="C64" s="10" t="s">
        <v>411</v>
      </c>
      <c r="D64" s="11" t="n">
        <v>1</v>
      </c>
      <c r="E64" s="10" t="s">
        <v>402</v>
      </c>
      <c r="F64" s="25" t="n">
        <v>380</v>
      </c>
      <c r="G64" s="12" t="n">
        <f aca="false">D64*F64</f>
        <v>380</v>
      </c>
    </row>
    <row r="65" customFormat="false" ht="42.75" hidden="false" customHeight="true" outlineLevel="0" collapsed="false">
      <c r="A65" s="8" t="n">
        <v>6</v>
      </c>
      <c r="B65" s="7" t="s">
        <v>412</v>
      </c>
      <c r="C65" s="7" t="s">
        <v>413</v>
      </c>
      <c r="D65" s="8" t="n">
        <v>1</v>
      </c>
      <c r="E65" s="7" t="s">
        <v>402</v>
      </c>
      <c r="F65" s="24" t="n">
        <v>50</v>
      </c>
      <c r="G65" s="9" t="n">
        <f aca="false">D65*F65</f>
        <v>50</v>
      </c>
    </row>
    <row r="66" customFormat="false" ht="63.75" hidden="false" customHeight="true" outlineLevel="0" collapsed="false">
      <c r="A66" s="11" t="n">
        <v>7</v>
      </c>
      <c r="B66" s="10" t="s">
        <v>414</v>
      </c>
      <c r="C66" s="10" t="s">
        <v>415</v>
      </c>
      <c r="D66" s="11" t="n">
        <v>1</v>
      </c>
      <c r="E66" s="10" t="s">
        <v>402</v>
      </c>
      <c r="F66" s="25" t="n">
        <v>30</v>
      </c>
      <c r="G66" s="12" t="n">
        <f aca="false">D66*F66</f>
        <v>30</v>
      </c>
    </row>
    <row r="67" customFormat="false" ht="63.75" hidden="false" customHeight="true" outlineLevel="0" collapsed="false">
      <c r="A67" s="8" t="n">
        <v>8</v>
      </c>
      <c r="B67" s="7" t="s">
        <v>416</v>
      </c>
      <c r="C67" s="7" t="s">
        <v>417</v>
      </c>
      <c r="D67" s="8" t="n">
        <v>1</v>
      </c>
      <c r="E67" s="7" t="s">
        <v>402</v>
      </c>
      <c r="F67" s="24" t="n">
        <v>10</v>
      </c>
      <c r="G67" s="9" t="n">
        <f aca="false">D67*F67</f>
        <v>10</v>
      </c>
    </row>
    <row r="68" customFormat="false" ht="95.25" hidden="false" customHeight="true" outlineLevel="0" collapsed="false">
      <c r="A68" s="11" t="n">
        <v>9</v>
      </c>
      <c r="B68" s="10" t="s">
        <v>418</v>
      </c>
      <c r="C68" s="10" t="s">
        <v>419</v>
      </c>
      <c r="D68" s="11" t="n">
        <v>1</v>
      </c>
      <c r="E68" s="10" t="s">
        <v>402</v>
      </c>
      <c r="F68" s="25" t="n">
        <v>500</v>
      </c>
      <c r="G68" s="12" t="n">
        <f aca="false">D68*F68</f>
        <v>500</v>
      </c>
    </row>
    <row r="69" customFormat="false" ht="15" hidden="false" customHeight="true" outlineLevel="0" collapsed="false">
      <c r="A69" s="13" t="s">
        <v>420</v>
      </c>
      <c r="B69" s="13"/>
      <c r="C69" s="13"/>
      <c r="D69" s="13"/>
      <c r="E69" s="13"/>
      <c r="F69" s="13"/>
      <c r="G69" s="14" t="n">
        <f aca="false">SUM(G60:G68)</f>
        <v>2570</v>
      </c>
    </row>
    <row r="72" customFormat="false" ht="15" hidden="false" customHeight="true" outlineLevel="0" collapsed="false">
      <c r="A72" s="19" t="s">
        <v>421</v>
      </c>
      <c r="B72" s="19"/>
      <c r="C72" s="19"/>
      <c r="D72" s="19"/>
      <c r="E72" s="19"/>
      <c r="F72" s="19"/>
      <c r="G72" s="19"/>
    </row>
    <row r="74" customFormat="false" ht="84.75" hidden="false" customHeight="true" outlineLevel="0" collapsed="false">
      <c r="A74" s="35" t="s">
        <v>422</v>
      </c>
      <c r="B74" s="36" t="n">
        <f aca="false">F21</f>
        <v>4075.2</v>
      </c>
    </row>
    <row r="75" customFormat="false" ht="84.75" hidden="false" customHeight="true" outlineLevel="0" collapsed="false">
      <c r="A75" s="35" t="s">
        <v>423</v>
      </c>
      <c r="B75" s="36" t="n">
        <f aca="false">G69</f>
        <v>2570</v>
      </c>
    </row>
    <row r="76" customFormat="false" ht="74.25" hidden="false" customHeight="true" outlineLevel="0" collapsed="false">
      <c r="A76" s="35" t="s">
        <v>424</v>
      </c>
      <c r="B76" s="36" t="n">
        <f aca="false">B74-B75</f>
        <v>1505.2</v>
      </c>
      <c r="C76" s="37" t="s">
        <v>425</v>
      </c>
      <c r="D76" s="37"/>
      <c r="E76" s="37"/>
      <c r="F76" s="37"/>
      <c r="G76" s="37"/>
    </row>
    <row r="77" customFormat="false" ht="74.25" hidden="false" customHeight="true" outlineLevel="0" collapsed="false">
      <c r="A77" s="35" t="s">
        <v>426</v>
      </c>
      <c r="B77" s="36" t="n">
        <f aca="false">F55</f>
        <v>316300</v>
      </c>
    </row>
    <row r="78" customFormat="false" ht="53.25" hidden="false" customHeight="true" outlineLevel="0" collapsed="false">
      <c r="A78" s="35" t="s">
        <v>427</v>
      </c>
      <c r="B78" s="38" t="n">
        <f aca="false">IF(B76&gt;0,ROUND(B77/B76,1),"∞")</f>
        <v>210.1</v>
      </c>
      <c r="C78" s="37" t="s">
        <v>428</v>
      </c>
      <c r="D78" s="37"/>
      <c r="E78" s="37"/>
      <c r="F78" s="37"/>
      <c r="G78" s="37"/>
    </row>
    <row r="79" customFormat="false" ht="53.25" hidden="false" customHeight="true" outlineLevel="0" collapsed="false">
      <c r="A79" s="35" t="s">
        <v>429</v>
      </c>
      <c r="B79" s="38" t="n">
        <f aca="false">IF(B76&gt;0,ROUND(B77/B76/12,1),"∞")</f>
        <v>17.5</v>
      </c>
    </row>
    <row r="80" customFormat="false" ht="74.25" hidden="false" customHeight="true" outlineLevel="0" collapsed="false">
      <c r="A80" s="35" t="s">
        <v>430</v>
      </c>
      <c r="B80" s="36" t="n">
        <f aca="false">B76*36-B77</f>
        <v>-262112.8</v>
      </c>
      <c r="C80" s="37" t="s">
        <v>431</v>
      </c>
      <c r="D80" s="37"/>
      <c r="E80" s="37"/>
      <c r="F80" s="37"/>
      <c r="G80" s="37"/>
    </row>
  </sheetData>
  <mergeCells count="12">
    <mergeCell ref="A1:N1"/>
    <mergeCell ref="A2:N2"/>
    <mergeCell ref="A4:G4"/>
    <mergeCell ref="A21:E21"/>
    <mergeCell ref="A25:G25"/>
    <mergeCell ref="A55:E55"/>
    <mergeCell ref="A58:G58"/>
    <mergeCell ref="A69:F69"/>
    <mergeCell ref="A72:G72"/>
    <mergeCell ref="C76:G76"/>
    <mergeCell ref="C78:G78"/>
    <mergeCell ref="C80:G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</cols>
  <sheetData>
    <row r="1" customFormat="false" ht="34.5" hidden="false" customHeight="true" outlineLevel="0" collapsed="false">
      <c r="A1" s="18" t="s">
        <v>432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customFormat="false" ht="15" hidden="false" customHeight="true" outlineLevel="0" collapsed="false">
      <c r="A2" s="3" t="s">
        <v>433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true" outlineLevel="0" collapsed="false">
      <c r="A4" s="39" t="s">
        <v>434</v>
      </c>
      <c r="B4" s="39"/>
      <c r="C4" s="39"/>
      <c r="D4" s="39"/>
      <c r="E4" s="39"/>
      <c r="F4" s="39"/>
    </row>
    <row r="5" customFormat="false" ht="18" hidden="false" customHeight="true" outlineLevel="0" collapsed="false">
      <c r="A5" s="40" t="s">
        <v>435</v>
      </c>
      <c r="B5" s="40"/>
      <c r="C5" s="40"/>
      <c r="D5" s="40"/>
      <c r="E5" s="40"/>
      <c r="F5" s="40"/>
    </row>
    <row r="6" customFormat="false" ht="18" hidden="false" customHeight="true" outlineLevel="0" collapsed="false">
      <c r="A6" s="41" t="s">
        <v>436</v>
      </c>
      <c r="B6" s="41"/>
      <c r="C6" s="41"/>
      <c r="D6" s="41"/>
      <c r="E6" s="41"/>
      <c r="F6" s="41"/>
    </row>
    <row r="7" customFormat="false" ht="18" hidden="false" customHeight="true" outlineLevel="0" collapsed="false">
      <c r="A7" s="40" t="s">
        <v>437</v>
      </c>
      <c r="B7" s="40"/>
      <c r="C7" s="40"/>
      <c r="D7" s="40"/>
      <c r="E7" s="40"/>
      <c r="F7" s="40"/>
    </row>
    <row r="8" customFormat="false" ht="18" hidden="false" customHeight="true" outlineLevel="0" collapsed="false">
      <c r="A8" s="41" t="s">
        <v>438</v>
      </c>
      <c r="B8" s="41"/>
      <c r="C8" s="41"/>
      <c r="D8" s="41"/>
      <c r="E8" s="41"/>
      <c r="F8" s="41"/>
    </row>
    <row r="9" customFormat="false" ht="18" hidden="false" customHeight="true" outlineLevel="0" collapsed="false">
      <c r="A9" s="40" t="s">
        <v>439</v>
      </c>
      <c r="B9" s="40"/>
      <c r="C9" s="40"/>
      <c r="D9" s="40"/>
      <c r="E9" s="40"/>
      <c r="F9" s="40"/>
    </row>
    <row r="11" customFormat="false" ht="15" hidden="false" customHeight="true" outlineLevel="0" collapsed="false">
      <c r="A11" s="39" t="s">
        <v>440</v>
      </c>
      <c r="B11" s="39"/>
      <c r="C11" s="39"/>
      <c r="D11" s="39"/>
      <c r="E11" s="39"/>
      <c r="F11" s="39"/>
    </row>
    <row r="12" customFormat="false" ht="18" hidden="false" customHeight="true" outlineLevel="0" collapsed="false">
      <c r="A12" s="41" t="s">
        <v>441</v>
      </c>
      <c r="B12" s="41"/>
      <c r="C12" s="41"/>
      <c r="D12" s="41"/>
      <c r="E12" s="41"/>
      <c r="F12" s="41"/>
    </row>
    <row r="13" customFormat="false" ht="18" hidden="false" customHeight="true" outlineLevel="0" collapsed="false">
      <c r="A13" s="40" t="s">
        <v>442</v>
      </c>
      <c r="B13" s="40"/>
      <c r="C13" s="40"/>
      <c r="D13" s="40"/>
      <c r="E13" s="40"/>
      <c r="F13" s="40"/>
    </row>
    <row r="14" customFormat="false" ht="18" hidden="false" customHeight="true" outlineLevel="0" collapsed="false">
      <c r="A14" s="41" t="s">
        <v>443</v>
      </c>
      <c r="B14" s="41"/>
      <c r="C14" s="41"/>
      <c r="D14" s="41"/>
      <c r="E14" s="41"/>
      <c r="F14" s="41"/>
    </row>
    <row r="15" customFormat="false" ht="18" hidden="false" customHeight="true" outlineLevel="0" collapsed="false">
      <c r="A15" s="40" t="s">
        <v>444</v>
      </c>
      <c r="B15" s="40"/>
      <c r="C15" s="40"/>
      <c r="D15" s="40"/>
      <c r="E15" s="40"/>
      <c r="F15" s="40"/>
    </row>
    <row r="16" customFormat="false" ht="18" hidden="false" customHeight="true" outlineLevel="0" collapsed="false">
      <c r="A16" s="41" t="s">
        <v>445</v>
      </c>
      <c r="B16" s="41"/>
      <c r="C16" s="41"/>
      <c r="D16" s="41"/>
      <c r="E16" s="41"/>
      <c r="F16" s="41"/>
    </row>
    <row r="18" customFormat="false" ht="15" hidden="false" customHeight="true" outlineLevel="0" collapsed="false">
      <c r="A18" s="39" t="s">
        <v>446</v>
      </c>
      <c r="B18" s="39"/>
      <c r="C18" s="39"/>
      <c r="D18" s="39"/>
      <c r="E18" s="39"/>
      <c r="F18" s="39"/>
    </row>
    <row r="19" customFormat="false" ht="18" hidden="false" customHeight="true" outlineLevel="0" collapsed="false">
      <c r="A19" s="40" t="s">
        <v>447</v>
      </c>
      <c r="B19" s="40"/>
      <c r="C19" s="40"/>
      <c r="D19" s="40"/>
      <c r="E19" s="40"/>
      <c r="F19" s="40"/>
    </row>
    <row r="20" customFormat="false" ht="18" hidden="false" customHeight="true" outlineLevel="0" collapsed="false">
      <c r="A20" s="41" t="s">
        <v>448</v>
      </c>
      <c r="B20" s="41"/>
      <c r="C20" s="41"/>
      <c r="D20" s="41"/>
      <c r="E20" s="41"/>
      <c r="F20" s="41"/>
    </row>
    <row r="21" customFormat="false" ht="18" hidden="false" customHeight="true" outlineLevel="0" collapsed="false">
      <c r="A21" s="40" t="s">
        <v>449</v>
      </c>
      <c r="B21" s="40"/>
      <c r="C21" s="40"/>
      <c r="D21" s="40"/>
      <c r="E21" s="40"/>
      <c r="F21" s="40"/>
    </row>
    <row r="22" customFormat="false" ht="18" hidden="false" customHeight="true" outlineLevel="0" collapsed="false">
      <c r="A22" s="41" t="s">
        <v>450</v>
      </c>
      <c r="B22" s="41"/>
      <c r="C22" s="41"/>
      <c r="D22" s="41"/>
      <c r="E22" s="41"/>
      <c r="F22" s="41"/>
    </row>
    <row r="23" customFormat="false" ht="18" hidden="false" customHeight="true" outlineLevel="0" collapsed="false">
      <c r="A23" s="40" t="s">
        <v>451</v>
      </c>
      <c r="B23" s="40"/>
      <c r="C23" s="40"/>
      <c r="D23" s="40"/>
      <c r="E23" s="40"/>
      <c r="F23" s="40"/>
    </row>
    <row r="24" customFormat="false" ht="18" hidden="false" customHeight="true" outlineLevel="0" collapsed="false">
      <c r="A24" s="41" t="s">
        <v>452</v>
      </c>
      <c r="B24" s="41"/>
      <c r="C24" s="41"/>
      <c r="D24" s="41"/>
      <c r="E24" s="41"/>
      <c r="F24" s="41"/>
    </row>
    <row r="26" customFormat="false" ht="15" hidden="false" customHeight="true" outlineLevel="0" collapsed="false">
      <c r="A26" s="39" t="s">
        <v>453</v>
      </c>
      <c r="B26" s="39"/>
      <c r="C26" s="39"/>
      <c r="D26" s="39"/>
      <c r="E26" s="39"/>
      <c r="F26" s="39"/>
    </row>
    <row r="27" customFormat="false" ht="18" hidden="false" customHeight="true" outlineLevel="0" collapsed="false">
      <c r="A27" s="40" t="s">
        <v>454</v>
      </c>
      <c r="B27" s="40"/>
      <c r="C27" s="40"/>
      <c r="D27" s="40"/>
      <c r="E27" s="40"/>
      <c r="F27" s="40"/>
    </row>
    <row r="28" customFormat="false" ht="18" hidden="false" customHeight="true" outlineLevel="0" collapsed="false">
      <c r="A28" s="41" t="s">
        <v>455</v>
      </c>
      <c r="B28" s="41"/>
      <c r="C28" s="41"/>
      <c r="D28" s="41"/>
      <c r="E28" s="41"/>
      <c r="F28" s="41"/>
    </row>
    <row r="29" customFormat="false" ht="18" hidden="false" customHeight="true" outlineLevel="0" collapsed="false">
      <c r="A29" s="40" t="s">
        <v>456</v>
      </c>
      <c r="B29" s="40"/>
      <c r="C29" s="40"/>
      <c r="D29" s="40"/>
      <c r="E29" s="40"/>
      <c r="F29" s="40"/>
    </row>
    <row r="30" customFormat="false" ht="18" hidden="false" customHeight="true" outlineLevel="0" collapsed="false">
      <c r="A30" s="41" t="s">
        <v>457</v>
      </c>
      <c r="B30" s="41"/>
      <c r="C30" s="41"/>
      <c r="D30" s="41"/>
      <c r="E30" s="41"/>
      <c r="F30" s="41"/>
    </row>
    <row r="31" customFormat="false" ht="18" hidden="false" customHeight="true" outlineLevel="0" collapsed="false">
      <c r="A31" s="40" t="s">
        <v>458</v>
      </c>
      <c r="B31" s="40"/>
      <c r="C31" s="40"/>
      <c r="D31" s="40"/>
      <c r="E31" s="40"/>
      <c r="F31" s="40"/>
    </row>
    <row r="32" customFormat="false" ht="18" hidden="false" customHeight="true" outlineLevel="0" collapsed="false">
      <c r="A32" s="41" t="s">
        <v>459</v>
      </c>
      <c r="B32" s="41"/>
      <c r="C32" s="41"/>
      <c r="D32" s="41"/>
      <c r="E32" s="41"/>
      <c r="F32" s="41"/>
    </row>
    <row r="34" customFormat="false" ht="15" hidden="false" customHeight="true" outlineLevel="0" collapsed="false">
      <c r="A34" s="39" t="s">
        <v>460</v>
      </c>
      <c r="B34" s="39"/>
      <c r="C34" s="39"/>
      <c r="D34" s="39"/>
      <c r="E34" s="39"/>
      <c r="F34" s="39"/>
    </row>
    <row r="35" customFormat="false" ht="18" hidden="false" customHeight="true" outlineLevel="0" collapsed="false">
      <c r="A35" s="40" t="s">
        <v>461</v>
      </c>
      <c r="B35" s="40"/>
      <c r="C35" s="40"/>
      <c r="D35" s="40"/>
      <c r="E35" s="40"/>
      <c r="F35" s="40"/>
    </row>
    <row r="36" customFormat="false" ht="18" hidden="false" customHeight="true" outlineLevel="0" collapsed="false">
      <c r="A36" s="41" t="s">
        <v>462</v>
      </c>
      <c r="B36" s="41"/>
      <c r="C36" s="41"/>
      <c r="D36" s="41"/>
      <c r="E36" s="41"/>
      <c r="F36" s="41"/>
    </row>
    <row r="37" customFormat="false" ht="18" hidden="false" customHeight="true" outlineLevel="0" collapsed="false">
      <c r="A37" s="40" t="s">
        <v>463</v>
      </c>
      <c r="B37" s="40"/>
      <c r="C37" s="40"/>
      <c r="D37" s="40"/>
      <c r="E37" s="40"/>
      <c r="F37" s="40"/>
    </row>
    <row r="38" customFormat="false" ht="18" hidden="false" customHeight="true" outlineLevel="0" collapsed="false">
      <c r="A38" s="41" t="s">
        <v>464</v>
      </c>
      <c r="B38" s="41"/>
      <c r="C38" s="41"/>
      <c r="D38" s="41"/>
      <c r="E38" s="41"/>
      <c r="F38" s="41"/>
    </row>
    <row r="39" customFormat="false" ht="18" hidden="false" customHeight="true" outlineLevel="0" collapsed="false">
      <c r="A39" s="40" t="s">
        <v>465</v>
      </c>
      <c r="B39" s="40"/>
      <c r="C39" s="40"/>
      <c r="D39" s="40"/>
      <c r="E39" s="40"/>
      <c r="F39" s="40"/>
    </row>
    <row r="40" customFormat="false" ht="18" hidden="false" customHeight="true" outlineLevel="0" collapsed="false">
      <c r="A40" s="41" t="s">
        <v>466</v>
      </c>
      <c r="B40" s="41"/>
      <c r="C40" s="41"/>
      <c r="D40" s="41"/>
      <c r="E40" s="41"/>
      <c r="F40" s="41"/>
    </row>
  </sheetData>
  <mergeCells count="35">
    <mergeCell ref="A1:N1"/>
    <mergeCell ref="A2:N2"/>
    <mergeCell ref="A4:F4"/>
    <mergeCell ref="A5:F5"/>
    <mergeCell ref="A6:F6"/>
    <mergeCell ref="A7:F7"/>
    <mergeCell ref="A8:F8"/>
    <mergeCell ref="A9:F9"/>
    <mergeCell ref="A11:F11"/>
    <mergeCell ref="A12:F12"/>
    <mergeCell ref="A13:F13"/>
    <mergeCell ref="A14:F14"/>
    <mergeCell ref="A15:F15"/>
    <mergeCell ref="A16:F16"/>
    <mergeCell ref="A18:F18"/>
    <mergeCell ref="A19:F19"/>
    <mergeCell ref="A20:F20"/>
    <mergeCell ref="A21:F21"/>
    <mergeCell ref="A22:F22"/>
    <mergeCell ref="A23:F23"/>
    <mergeCell ref="A24:F24"/>
    <mergeCell ref="A26:F26"/>
    <mergeCell ref="A27:F27"/>
    <mergeCell ref="A28:F28"/>
    <mergeCell ref="A29:F29"/>
    <mergeCell ref="A30:F30"/>
    <mergeCell ref="A31:F31"/>
    <mergeCell ref="A32:F32"/>
    <mergeCell ref="A34:F34"/>
    <mergeCell ref="A35:F35"/>
    <mergeCell ref="A36:F36"/>
    <mergeCell ref="A37:F37"/>
    <mergeCell ref="A38:F38"/>
    <mergeCell ref="A39:F39"/>
    <mergeCell ref="A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2026-04-09T11:26:53Z</dcterms:created>
  <dc:creator>openpyxl</dc:creator>
  <dc:description/>
  <dc:language>en-US</dc:language>
  <cp:lastModifiedBy/>
  <dcterms:modified xsi:type="dcterms:W3CDTF">2026-04-09T11:27:19Z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